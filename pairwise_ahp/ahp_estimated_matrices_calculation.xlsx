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1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1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راهنما" sheetId="1" state="visible" r:id="rId3"/>
    <sheet name="ورودی" sheetId="2" state="visible" r:id="rId4"/>
    <sheet name="سازگاری" sheetId="3" state="visible" r:id="rId5"/>
    <sheet name="نتیجه" sheetId="4" state="visible" r:id="rId6"/>
    <sheet name="نسبت" sheetId="5" state="visible" r:id="rId7"/>
    <sheet name="تجمیع" sheetId="6" state="visible" r:id="rId8"/>
    <sheet name="خ۱" sheetId="7" state="visible" r:id="rId9"/>
    <sheet name="خ۲" sheetId="8" state="visible" r:id="rId10"/>
    <sheet name="خ۳" sheetId="9" state="visible" r:id="rId11"/>
    <sheet name="خ۴" sheetId="10" state="visible" r:id="rId12"/>
    <sheet name="خ۵" sheetId="11" state="visible" r:id="rId13"/>
    <sheet name="خ۶" sheetId="12" state="visible" r:id="rId14"/>
    <sheet name="خ۷" sheetId="13" state="visible" r:id="rId15"/>
    <sheet name="وزن_مستقیم" sheetId="14" state="visible" r:id="rId1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1" authorId="0">
      <text>
        <r>
          <rPr>
            <sz val="10"/>
            <rFont val="Arial"/>
            <family val="2"/>
          </rPr>
          <t xml:space="preserve">RI: </t>
        </r>
        <r>
          <rPr>
            <sz val="10"/>
            <rFont val="FreeSans"/>
            <family val="2"/>
          </rPr>
          <t xml:space="preserve">شاخص سازگاری ماتریس‌های تصادفی؛ مقادیر استاندارد </t>
        </r>
        <r>
          <rPr>
            <sz val="10"/>
            <rFont val="Arial"/>
            <family val="2"/>
          </rPr>
          <t xml:space="preserve">Saaty (1980). </t>
        </r>
        <r>
          <rPr>
            <sz val="10"/>
            <rFont val="FreeSans"/>
            <family val="2"/>
          </rPr>
          <t xml:space="preserve">برای </t>
        </r>
        <r>
          <rPr>
            <sz val="10"/>
            <rFont val="Arial"/>
            <family val="2"/>
          </rPr>
          <t xml:space="preserve">n ≤ 2 </t>
        </r>
        <r>
          <rPr>
            <sz val="10"/>
            <rFont val="FreeSans"/>
            <family val="2"/>
          </rPr>
          <t xml:space="preserve">ماتریس همیشه سازگار است </t>
        </r>
        <r>
          <rPr>
            <sz val="10"/>
            <rFont val="Arial"/>
            <family val="2"/>
          </rPr>
          <t xml:space="preserve">(CR = 0).</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D5" authorId="0">
      <text>
        <r>
          <rPr>
            <sz val="10"/>
            <rFont val="FreeSans"/>
            <family val="2"/>
          </rPr>
          <t xml:space="preserve">امتیازهای خام دور سوم دلفی (۷ خبره × ۲۹ گویه) از پیوست پایان‌نامه؛ ورودی‌های ثابت این برگه</t>
        </r>
        <r>
          <rPr>
            <sz val="10"/>
            <rFont val="Arial"/>
            <family val="2"/>
          </rPr>
          <t xml:space="preserve">.</t>
        </r>
      </text>
    </comment>
  </commentList>
</comments>
</file>

<file path=xl/sharedStrings.xml><?xml version="1.0" encoding="utf-8"?>
<sst xmlns="http://schemas.openxmlformats.org/spreadsheetml/2006/main" count="3829" uniqueCount="266">
  <si>
    <t xml:space="preserve">محاسبهٔ وزن‌ها به روش فرایند تحلیل سلسله‌مراتبی (AHP) با مقایسهٔ زوجی — نسخهٔ ماتریس‌های برآوردی</t>
  </si>
  <si>
    <t xml:space="preserve">پژوهش: شناسایی و اولویت‌بندی چالش‌های فروش در شرکت‌های تک‌محصولی فعال در صنعت مواد غذایی</t>
  </si>
  <si>
    <t xml:space="preserve">توجه: ماتریس‌های این فایل برآوردی‌اند: از امتیازهای دور سوم دلفی هر خبره ساخته شده‌اند و پاسخ مستقیم خبرگان به مقایسه‌های زوجی نیستند. قاعدهٔ برآورد: برای هر دو مورد، اختلاف امتیاز دور سوم (برای مؤلفه‌ها، میانگین امتیاز گویه‌های آن) محاسبه شد؛ اختلاف کمتر از ۰٫۵ برابر (۱) و در غیر این صورت شدت برتری ۱ + ⌈اختلاف⌉ گرفته شد. به همین دلیل نرخ ناسازگاری (CR) این فایل فقط سازگاری درونی قاعدهٔ تبدیل را نشان می‌دهد و ملاک اعتبار قضاوت خبرگان نیست.</t>
  </si>
  <si>
    <t xml:space="preserve">۱. این فایل چه کاری می‌کند؟</t>
  </si>
  <si>
    <t xml:space="preserve">پاسخ‌های مقایسهٔ زوجی هفت خبره را، که روی پرسشنامهٔ مقایسهٔ زوجی (فایل Word همراه) علامت زده‌اند، به وزن مؤلفه‌ها و گویه‌ها تبدیل می‌کند، نرخ ناسازگاری (CR) هر خبره را می‌سنجد و وزن‌های نهایی را با وزن‌دهی مستقیم فعلی پایان‌نامه مقایسه می‌کند. فقط برگهٔ «ورودی» را پر کنید؛ همهٔ برگه‌های دیگر با فرمول محاسبه می‌شوند و نیازی به دست‌کاری ندارند.</t>
  </si>
  <si>
    <t xml:space="preserve">۲. مراحل کار</t>
  </si>
  <si>
    <t xml:space="preserve">۱) پاسخ هر خبره را از پرسشنامهٔ تکمیل‌شده در یک ستون از برگهٔ «ورودی» (ستون‌های خ۱ تا خ۷) وارد کنید. شمارهٔ ردیف‌ها با شمارهٔ ردیف‌های پرسشنامه یکی است (۱ تا ۷۰). نحوهٔ کدگذاری در بخش ۳ آمده است.</t>
  </si>
  <si>
    <t xml:space="preserve">۲) برگهٔ «سازگاری» را ببینید. اگر نرخ ناسازگاری (CR) ماتریسی از حد مجاز بیشتر باشد (قرمز)، آن ماتریس را با همان خبره مرور کنید. در برگهٔ هر خبره (خ۱ تا خ۷)، سمت چپ هر ماتریس، مقایسه‌ای که بیشترین انحراف را از وزن‌های برآوردشده دارد با رنگ قرمز مشخص شده است؛ نخست همان را با خبره مرور کنید. پس از اصلاح، عدد جدید را در برگهٔ «ورودی» جایگزین کنید.</t>
  </si>
  <si>
    <t xml:space="preserve">۳) وقتی پاسخ هر هفت خبره کامل و سازگار شد، برگهٔ «نتیجه» وزن نهایی مؤلفه‌ها و گویه‌ها را نشان می‌دهد؛ تا آن زمان نتایج موقت است و بالای برگه این موضوع نوشته می‌شود.</t>
  </si>
  <si>
    <t xml:space="preserve">۴) ستون‌های «روش مستقیم» در برگهٔ «نتیجه» وزن‌های فعلی پایان‌نامه‌اند (میانگین امتیاز دور سوم دلفی تقسیم بر مجموع میانگین‌ها). ضریب همبستگی اسپیرمن در پایین برگه نشان می‌دهد دو رتبه‌بندی چقدر همسو هستند.</t>
  </si>
  <si>
    <t xml:space="preserve">۳. کدگذاری پاسخ‌ها در برگهٔ «ورودی»</t>
  </si>
  <si>
    <t xml:space="preserve">در پرسشنامه علامت زده شده است</t>
  </si>
  <si>
    <t xml:space="preserve">در خانه بنویسید</t>
  </si>
  <si>
    <t xml:space="preserve">معنی</t>
  </si>
  <si>
    <t xml:space="preserve">عدد k از ۲ تا ۹، در سمت «الف» (سمت راست)</t>
  </si>
  <si>
    <t xml:space="preserve">k</t>
  </si>
  <si>
    <t xml:space="preserve">مورد «الف» k برابر مهم‌تر از مورد «ب» است (مثلاً 3: سه برابر).</t>
  </si>
  <si>
    <t xml:space="preserve">عدد ۱ (ستون میانی)</t>
  </si>
  <si>
    <t xml:space="preserve">1</t>
  </si>
  <si>
    <t xml:space="preserve">دو مورد اهمیت برابر دارند.</t>
  </si>
  <si>
    <t xml:space="preserve">عدد k از ۲ تا ۹، در سمت «ب» (سمت چپ)</t>
  </si>
  <si>
    <t xml:space="preserve">-k</t>
  </si>
  <si>
    <t xml:space="preserve">مورد «ب» k برابر مهم‌تر از مورد «الف» است (مثلاً -3: سه برابر).</t>
  </si>
  <si>
    <t xml:space="preserve">مثال: ردیف ۳۸ پرسشنامه گ۱ را با گ۳ مقایسه می‌کند. اگر خبرهٔ ۲ عدد ۴ را در سمت «ب» علامت زده باشد، یعنی گ۳ چهار برابر مهم‌تر از گ۱ است. در این صورت در برگهٔ «ورودی»، ردیف ۳۸، ستون «خ۲» عدد منفی چهار نوشته می‌شود (جدول نمونهٔ زیر؛ این جدول فقط نمونه است و در محاسبه نقشی ندارد).</t>
  </si>
  <si>
    <t xml:space="preserve">ردیف پرسشنامه</t>
  </si>
  <si>
    <t xml:space="preserve">خبره</t>
  </si>
  <si>
    <t xml:space="preserve">علامت زده‌شده</t>
  </si>
  <si>
    <t xml:space="preserve">عددی که وارد می‌شود</t>
  </si>
  <si>
    <t xml:space="preserve">خ۲</t>
  </si>
  <si>
    <t xml:space="preserve">عدد ۴ در سمت «ب»</t>
  </si>
  <si>
    <t xml:space="preserve">۴. پارامترها</t>
  </si>
  <si>
    <t xml:space="preserve">حد مجاز نرخ ناسازگاری (CR)</t>
  </si>
  <si>
    <t xml:space="preserve">اگر CR بیشتر از این عدد باشد، ماتریس ناسازگار است و باید با خبره مرور شود (Saaty, 1980).</t>
  </si>
  <si>
    <t xml:space="preserve">تعداد گزینه‌های ماتریس (n)</t>
  </si>
  <si>
    <t xml:space="preserve">RI</t>
  </si>
  <si>
    <t xml:space="preserve">۵. روش محاسبه (خلاصه)</t>
  </si>
  <si>
    <t xml:space="preserve">• هر پاسخ به نسبت اهمیت تبدیل می‌شود: عدد مثبت همان عدد می‌ماند، عدد ۱ همان ۱ می‌ماند و عدد منفی به معکوس قدرمطلق خود تبدیل می‌شود (مثلاً منفی سه به یک‌سوم). نسبت‌های پایین قطر ماتریس معکوس نسبت‌های بالای قطرند.</t>
  </si>
  <si>
    <t xml:space="preserve">• ساختار سلسله‌مراتبی: هدف ← ۹ مؤلفه ← ۲۹ گویه. یک ماتریس ۹×۹ برای مؤلفه‌ها و نُه ماتریس کوچک برای گویه‌های درون هر مؤلفه ساخته می‌شود (۳۶ + ۳۴ = ۷۰ مقایسه برای هر خبره).</t>
  </si>
  <si>
    <t xml:space="preserve">• وزن هر ماتریس: میانگین هندسی عددهای هر سطر، سپس تقسیم بر مجموع این میانگین‌ها (روش میانگین هندسی سطرها، معادل کمترین مربعات لگاریتمی؛ Crawford &amp; Williams, 1985).</t>
  </si>
  <si>
    <t xml:space="preserve">• ترکیب نظر خبرگان: داوری هر مقایسه از میانگین هندسی داوری‌های خبرگان به دست می‌آید (Aczél &amp; Saaty, 1983) و با آن ماتریس‌های تجمیعی ساخته می‌شود.</t>
  </si>
  <si>
    <t xml:space="preserve">• مقایسهٔ دارای بیشترین انحراف: نسبت داوری‌شده با نسبت وزن‌های برآوردشدهٔ همان دو مورد سنجیده می‌شود؛ هرچه این انحراف از ۱ دورتر باشد، آن داوری با بقیهٔ داوری‌های خبره ناهماهنگ‌تر است.</t>
  </si>
  <si>
    <t xml:space="preserve">• اگر خبره‌ای فقط بخشی از ردیف‌ها را پاسخ داده باشد، ماتریس‌های ناقص او محاسبه نمی‌شوند (وضعیت «ناقص»)؛ ماتریس تجمیعی از خبرگانی ساخته می‌شود که آن مقایسه را پاسخ داده‌اند.</t>
  </si>
  <si>
    <t xml:space="preserve">فرمول‌های اصلی</t>
  </si>
  <si>
    <t xml:space="preserve">توضیح</t>
  </si>
  <si>
    <t xml:space="preserve">w(i) = GM(i) / Σ GM</t>
  </si>
  <si>
    <t xml:space="preserve">وزن مورد i: میانگین هندسی سطر i تقسیم بر مجموع میانگین‌های هندسی همهٔ سطرها.</t>
  </si>
  <si>
    <t xml:space="preserve">λmax = Σ ( S(j) × w(j) )</t>
  </si>
  <si>
    <t xml:space="preserve">S(j) مجموع ستون j ماتریس است؛ مجموع حاصل‌ضرب مجموع هر ستون در وزن همان ستون.</t>
  </si>
  <si>
    <t xml:space="preserve">CI = (λmax − n) / (n − 1)</t>
  </si>
  <si>
    <t xml:space="preserve">شاخص ناسازگاری؛ n تعداد گزینه‌های ماتریس است.</t>
  </si>
  <si>
    <t xml:space="preserve">CR = CI / RI</t>
  </si>
  <si>
    <t xml:space="preserve">نرخ ناسازگاری؛ RI از جدول شاخص تصادفی (بالا) خوانده می‌شود.</t>
  </si>
  <si>
    <t xml:space="preserve">a(ij) = ( Π a_k(ij) ) ^ (1 / m)</t>
  </si>
  <si>
    <t xml:space="preserve">داوری ترکیبی خبرگان؛ k شمارندهٔ خبرگان و m تعداد خبرگانی است که آن مقایسه را پاسخ داده‌اند.</t>
  </si>
  <si>
    <t xml:space="preserve">W(g) = w(component) × w(local)</t>
  </si>
  <si>
    <t xml:space="preserve">وزن کلی هر گویه: وزن مؤلفهٔ آن ضرب در وزن محلی گویه درون مؤلفه.</t>
  </si>
  <si>
    <t xml:space="preserve">۶. برگه‌ها</t>
  </si>
  <si>
    <t xml:space="preserve">ورودی</t>
  </si>
  <si>
    <t xml:space="preserve">ورود پاسخ‌های خبرگان (تنها برگه‌ای که باید پر شود؛ خانه‌های زردرنگ).</t>
  </si>
  <si>
    <t xml:space="preserve">سازگاری</t>
  </si>
  <si>
    <t xml:space="preserve">نرخ ناسازگاری هر ماتریس برای هر خبره و برای ماتریس تجمیعی؛ تشخیص خبرگانی که باید بازنگری کنند.</t>
  </si>
  <si>
    <t xml:space="preserve">نتیجه</t>
  </si>
  <si>
    <t xml:space="preserve">وزن و رتبهٔ نهایی مؤلفه‌ها و گویه‌ها و مقایسه با وزن‌دهی مستقیم.</t>
  </si>
  <si>
    <t xml:space="preserve">نسبت</t>
  </si>
  <si>
    <t xml:space="preserve">تبدیل کدها به نسبت و میانگین هندسی میان خبرگان (محاسباتی).</t>
  </si>
  <si>
    <t xml:space="preserve">تجمیع</t>
  </si>
  <si>
    <t xml:space="preserve">ده ماتریس تجمیعی با وزن، λmax، CI و CR (محاسباتی).</t>
  </si>
  <si>
    <t xml:space="preserve">برگه‌های خبرگان</t>
  </si>
  <si>
    <t xml:space="preserve">ده ماتریس هر خبره (برگه‌های خ۱ تا خ۷) با وزن، λmax، CI، CR و ماتریس انحراف (محاسباتی).</t>
  </si>
  <si>
    <t xml:space="preserve">وزن_مستقیم</t>
  </si>
  <si>
    <t xml:space="preserve">وزن‌دهی مستقیم فعلی پایان‌نامه از امتیازهای دور سوم دلفی (مرجع مقایسه).</t>
  </si>
  <si>
    <t xml:space="preserve">محافظت</t>
  </si>
  <si>
    <t xml:space="preserve">برای جلوگیری از پاک شدن تصادفی فرمول‌ها، برگه‌ها بدون رمز محافظت شده‌اند و فقط خانه‌های زرد قابل ویرایش‌اند (در صورت نیاز: Review ← Unprotect Sheet).</t>
  </si>
  <si>
    <t xml:space="preserve">۷. راهنمای رنگ‌ها</t>
  </si>
  <si>
    <t xml:space="preserve">عدد واردشده یا پارامتر قابل‌تغییر (متن آبی روی زمینهٔ زرد)</t>
  </si>
  <si>
    <t xml:space="preserve">فرمول</t>
  </si>
  <si>
    <t xml:space="preserve">فرمول (متن مشکی)؛ دست‌کاری نشود</t>
  </si>
  <si>
    <t xml:space="preserve">CR</t>
  </si>
  <si>
    <t xml:space="preserve">نرخ ناسازگاری بیش از حد مجاز یا مقایسهٔ دارای بیشترین انحراف</t>
  </si>
  <si>
    <t xml:space="preserve">ماتریس سازگار</t>
  </si>
  <si>
    <t xml:space="preserve">ورودی: ماتریس‌های برآوردی از امتیازهای دور سوم (نه پاسخ مستقیم خبرگان)</t>
  </si>
  <si>
    <t xml:space="preserve">هر ردیف یک مقایسه از پرسشنامه است. برای هر خبره عدد را در ستون او بنویسید: k (۲ تا ۹) اگر «الف» مهم‌تر است، 1 اگر برابرند، و -k اگر «ب» مهم‌تر است (جزئیات و مثال در برگهٔ «راهنما»). خانه‌های بی‌پاسخ را خالی بگذارید.</t>
  </si>
  <si>
    <t xml:space="preserve">تعداد پاسخ ثبت‌شده (از ۷۰)</t>
  </si>
  <si>
    <t xml:space="preserve">وضعیت</t>
  </si>
  <si>
    <t xml:space="preserve">ردیف</t>
  </si>
  <si>
    <t xml:space="preserve">بخش</t>
  </si>
  <si>
    <t xml:space="preserve">کد الف</t>
  </si>
  <si>
    <t xml:space="preserve">مورد الف</t>
  </si>
  <si>
    <t xml:space="preserve">کد ب</t>
  </si>
  <si>
    <t xml:space="preserve">مورد ب</t>
  </si>
  <si>
    <t xml:space="preserve">خ۱</t>
  </si>
  <si>
    <t xml:space="preserve">خ۳</t>
  </si>
  <si>
    <t xml:space="preserve">خ۴</t>
  </si>
  <si>
    <t xml:space="preserve">خ۵</t>
  </si>
  <si>
    <t xml:space="preserve">خ۶</t>
  </si>
  <si>
    <t xml:space="preserve">خ۷</t>
  </si>
  <si>
    <t xml:space="preserve">تعداد پاسخ‌دهنده</t>
  </si>
  <si>
    <t xml:space="preserve">الف</t>
  </si>
  <si>
    <t xml:space="preserve">م۱</t>
  </si>
  <si>
    <t xml:space="preserve">آسیب‌پذیری ساختاری ناشی از تمرکز بر محصول واحد</t>
  </si>
  <si>
    <t xml:space="preserve">م۲</t>
  </si>
  <si>
    <t xml:space="preserve">ضعف برندسازی و دشواری تمایز محصول</t>
  </si>
  <si>
    <t xml:space="preserve">م۳</t>
  </si>
  <si>
    <t xml:space="preserve">دشواری جذب و حفظ مشتری و وفاداری پایین</t>
  </si>
  <si>
    <t xml:space="preserve">م۴</t>
  </si>
  <si>
    <t xml:space="preserve">ضعف در برنامه‌ریزی، پیش‌بینی و مدیریت فروش</t>
  </si>
  <si>
    <t xml:space="preserve">م۵</t>
  </si>
  <si>
    <t xml:space="preserve">ناکارآمدی و هزینه‌بری شبکه توزیع و فروش</t>
  </si>
  <si>
    <t xml:space="preserve">م۶</t>
  </si>
  <si>
    <t xml:space="preserve">شدت رقابت و فشار قیمتی بازار</t>
  </si>
  <si>
    <t xml:space="preserve">م۷</t>
  </si>
  <si>
    <t xml:space="preserve">تغییر ذائقه مصرف‌کننده و محدودیت بازار هدف</t>
  </si>
  <si>
    <t xml:space="preserve">م۸</t>
  </si>
  <si>
    <t xml:space="preserve">ناپایداری تأمین و نوسان بهای مواد اولیه</t>
  </si>
  <si>
    <t xml:space="preserve">م۹</t>
  </si>
  <si>
    <t xml:space="preserve">فشارهای اقتصاد کلان و کاهش قدرت خرید</t>
  </si>
  <si>
    <t xml:space="preserve">ب</t>
  </si>
  <si>
    <t xml:space="preserve">گ۱</t>
  </si>
  <si>
    <t xml:space="preserve">وابستگی کامل درآمد و سودآوری شرکت به تقاضای یک محصول</t>
  </si>
  <si>
    <t xml:space="preserve">گ۲</t>
  </si>
  <si>
    <t xml:space="preserve">نبود امکان جبران افت فروش از محل سایر اقلام سبد محصول</t>
  </si>
  <si>
    <t xml:space="preserve">گ۳</t>
  </si>
  <si>
    <t xml:space="preserve">کاهش انعطاف‌پذیری و کندی واکنش شرکت به تغییرات بازار</t>
  </si>
  <si>
    <t xml:space="preserve">گ۴</t>
  </si>
  <si>
    <t xml:space="preserve">ضعف در برندسازی و تبلیغات و کمرنگ بودن جایگاه برند در ذهن مشتری</t>
  </si>
  <si>
    <t xml:space="preserve">گ۵</t>
  </si>
  <si>
    <t xml:space="preserve">دشواری ایجاد تمایز نسبت به محصولات رقیب</t>
  </si>
  <si>
    <t xml:space="preserve">گ۶</t>
  </si>
  <si>
    <t xml:space="preserve">نبود نوآوری و توسعه محصول</t>
  </si>
  <si>
    <t xml:space="preserve">گ۷</t>
  </si>
  <si>
    <t xml:space="preserve">کم‌توجهی به تحقیقات بازار و مطالعه رفتار مصرف‌کننده</t>
  </si>
  <si>
    <t xml:space="preserve">گ۸</t>
  </si>
  <si>
    <t xml:space="preserve">دشواری جذب مشتری جدید</t>
  </si>
  <si>
    <t xml:space="preserve">گ۹</t>
  </si>
  <si>
    <t xml:space="preserve">وفاداری پایین مشتری به شرکت تک‌محصولی</t>
  </si>
  <si>
    <t xml:space="preserve">گ۱۰</t>
  </si>
  <si>
    <t xml:space="preserve">نبود پیشنهاد تازه برای حفظ و فعال‌سازی مجدد مشتریان فعلی</t>
  </si>
  <si>
    <t xml:space="preserve">گ۱۱</t>
  </si>
  <si>
    <t xml:space="preserve">ضعف در پیش‌بینی دقیق تقاضای بازار</t>
  </si>
  <si>
    <t xml:space="preserve">گ۱۲</t>
  </si>
  <si>
    <t xml:space="preserve">ضعف در برنامه‌ریزی و مدیریت موجودی</t>
  </si>
  <si>
    <t xml:space="preserve">گ۱۳</t>
  </si>
  <si>
    <t xml:space="preserve">ضعف در نظام برنامه‌ریزی و اطلاعات فروش</t>
  </si>
  <si>
    <t xml:space="preserve">گ۱۴</t>
  </si>
  <si>
    <t xml:space="preserve">محدودیت منابع مالی برای توزیع و ترویج محصول</t>
  </si>
  <si>
    <t xml:space="preserve">گ۱۵</t>
  </si>
  <si>
    <t xml:space="preserve">هزینه بالای پخش و توزیع به ازای یک قلم کالا</t>
  </si>
  <si>
    <t xml:space="preserve">گ۱۶</t>
  </si>
  <si>
    <t xml:space="preserve">کوچک بودن شبکه فروش و پوشش محدود بازار</t>
  </si>
  <si>
    <t xml:space="preserve">گ۱۷</t>
  </si>
  <si>
    <t xml:space="preserve">کاهش قدرت چانه‌زنی در برابر شبکه توزیع و خرده‌فروشی چندمحصولی</t>
  </si>
  <si>
    <t xml:space="preserve">گ۱۸</t>
  </si>
  <si>
    <t xml:space="preserve">وابستگی به تعداد محدودی مشتری یا کانال فروش</t>
  </si>
  <si>
    <t xml:space="preserve">گ۱۹</t>
  </si>
  <si>
    <t xml:space="preserve">ورود رقبای جدید و افزایش شدت رقابت</t>
  </si>
  <si>
    <t xml:space="preserve">گ۲۰</t>
  </si>
  <si>
    <t xml:space="preserve">حضور محصولات جایگزین و برندهای رقیب دارای سبد متنوع</t>
  </si>
  <si>
    <t xml:space="preserve">گ۲۱</t>
  </si>
  <si>
    <t xml:space="preserve">رقابت قیمتی و نوسان قیمت رقبا</t>
  </si>
  <si>
    <t xml:space="preserve">گ۲۲</t>
  </si>
  <si>
    <t xml:space="preserve">تغییر سریع ذائقه و ترجیحات مصرف‌کننده در گذر زمان</t>
  </si>
  <si>
    <t xml:space="preserve">گ۲۳</t>
  </si>
  <si>
    <t xml:space="preserve">محدود بودن بازار هدف به یک گروه خاص از مشتریان</t>
  </si>
  <si>
    <t xml:space="preserve">گ۲۴</t>
  </si>
  <si>
    <t xml:space="preserve">افت ناگهانی تقاضا</t>
  </si>
  <si>
    <t xml:space="preserve">گ۲۵</t>
  </si>
  <si>
    <t xml:space="preserve">نوسان و کمبود در تأمین مواد اولیه</t>
  </si>
  <si>
    <t xml:space="preserve">گ۲۶</t>
  </si>
  <si>
    <t xml:space="preserve">وابستگی تأمین به واردات و اثر تحریم و محدودیت‌های اقتصادی</t>
  </si>
  <si>
    <t xml:space="preserve">گ۲۷</t>
  </si>
  <si>
    <t xml:space="preserve">ناپیوستگی عرضه و کسری محصول در بازار</t>
  </si>
  <si>
    <t xml:space="preserve">گ۲۸</t>
  </si>
  <si>
    <t xml:space="preserve">افزایش بهای تمام‌شده و فشار بر حاشیه سود</t>
  </si>
  <si>
    <t xml:space="preserve">گ۲۹</t>
  </si>
  <si>
    <t xml:space="preserve">کاهش قدرت خرید و مشکلات اقتصادی مصرف‌کننده</t>
  </si>
  <si>
    <t xml:space="preserve">سازگاری: نرخ ناسازگاری (CR) هر ماتریس برای هر خبره و برای ماتریس تجمیعی</t>
  </si>
  <si>
    <t xml:space="preserve">هر خانه نرخ ناسازگاری (CR) یک ماتریس است. قرمز: بیشتر از حد مجاز، باید با خبره مرور شود؛ سبز: سازگار؛ «ناقص»: هنوز همهٔ مقایسه‌های آن ماتریس ثبت نشده است. ماتریس‌های دو گزینه‌ای همیشه سازگارند (CR = 0).</t>
  </si>
  <si>
    <t xml:space="preserve">حد مجاز CR</t>
  </si>
  <si>
    <t xml:space="preserve">شمارهٔ ماتریس</t>
  </si>
  <si>
    <t xml:space="preserve">ماتریس</t>
  </si>
  <si>
    <t xml:space="preserve">n</t>
  </si>
  <si>
    <t xml:space="preserve">تجمیعی</t>
  </si>
  <si>
    <t xml:space="preserve">مؤلفه‌ها (۹×۹)</t>
  </si>
  <si>
    <t xml:space="preserve">گویه‌های م۱: آسیب‌پذیری ساختاری ناشی از تمرکز بر محصول واحد</t>
  </si>
  <si>
    <t xml:space="preserve">گویه‌های م۲: ضعف برندسازی و دشواری تمایز محصول</t>
  </si>
  <si>
    <t xml:space="preserve">گویه‌های م۳: دشواری جذب و حفظ مشتری و وفاداری پایین</t>
  </si>
  <si>
    <t xml:space="preserve">گویه‌های م۴: ضعف در برنامه‌ریزی، پیش‌بینی و مدیریت فروش</t>
  </si>
  <si>
    <t xml:space="preserve">گویه‌های م۵: ناکارآمدی و هزینه‌بری شبکه توزیع و فروش</t>
  </si>
  <si>
    <t xml:space="preserve">گویه‌های م۶: شدت رقابت و فشار قیمتی بازار</t>
  </si>
  <si>
    <t xml:space="preserve">گویه‌های م۷: تغییر ذائقه مصرف‌کننده و محدودیت بازار هدف</t>
  </si>
  <si>
    <t xml:space="preserve">گویه‌های م۸: ناپایداری تأمین و نوسان بهای مواد اولیه</t>
  </si>
  <si>
    <t xml:space="preserve">گویه‌های م۹: فشارهای اقتصاد کلان و کاهش قدرت خرید</t>
  </si>
  <si>
    <t xml:space="preserve">مقایسه‌های ثبت‌شده (از ۷۰)</t>
  </si>
  <si>
    <t xml:space="preserve">ماتریس‌های ناسازگار</t>
  </si>
  <si>
    <t xml:space="preserve">ماتریس‌های ناقص</t>
  </si>
  <si>
    <t xml:space="preserve">«بازنگری»: دست‌کم یک ماتریس این خبره از حد مجاز ناسازگارتر است؛ مقایسهٔ قرمزشده در برگهٔ همان خبره را با او مرور کنید. «تأیید»: همهٔ ماتریس‌های او کامل و سازگارند. «تجمیعی» ماتریس‌های ساخته‌شده از میانگین هندسی خبرگان است.</t>
  </si>
  <si>
    <t xml:space="preserve">نتایج: وزن مؤلفه‌ها و گویه‌ها به روش مقایسهٔ زوجی (AHP) — بر پایهٔ ماتریس‌های برآوردی</t>
  </si>
  <si>
    <t xml:space="preserve">وزن‌ها از ماتریس‌های تجمیعی (میانگین هندسی خبرگان) به دست می‌آیند. وزن کلی گویه = وزن مؤلفه × وزن محلی گویه. «تغییر رتبه» = رتبهٔ مستقیم − رتبهٔ مقایسهٔ زوجی (مثبت: در مقایسهٔ زوجی بالاتر آمده است).</t>
  </si>
  <si>
    <t xml:space="preserve">جدول ۱. وزن مؤلفه‌ها</t>
  </si>
  <si>
    <t xml:space="preserve">کد</t>
  </si>
  <si>
    <t xml:space="preserve">مؤلفه</t>
  </si>
  <si>
    <t xml:space="preserve">وزن (مقایسهٔ زوجی)</t>
  </si>
  <si>
    <t xml:space="preserve">رتبه</t>
  </si>
  <si>
    <t xml:space="preserve">وزن (روش مستقیم)</t>
  </si>
  <si>
    <t xml:space="preserve">رتبه (مستقیم)</t>
  </si>
  <si>
    <t xml:space="preserve">تغییر رتبه</t>
  </si>
  <si>
    <t xml:space="preserve">رتبهٔ میانگین (زوجی)</t>
  </si>
  <si>
    <t xml:space="preserve">رتبهٔ میانگین (مستقیم)</t>
  </si>
  <si>
    <t xml:space="preserve">مجموع</t>
  </si>
  <si>
    <t xml:space="preserve">ضریب همبستگی اسپیرمن میان دو رتبه‌بندی (مؤلفه‌ها)</t>
  </si>
  <si>
    <t xml:space="preserve">جدول ۲. وزن گویه‌ها</t>
  </si>
  <si>
    <t xml:space="preserve">گویه</t>
  </si>
  <si>
    <t xml:space="preserve">وزن محلی (درون مؤلفه)</t>
  </si>
  <si>
    <t xml:space="preserve">وزن مؤلفه</t>
  </si>
  <si>
    <t xml:space="preserve">وزن کلی (مقایسهٔ زوجی)</t>
  </si>
  <si>
    <t xml:space="preserve">ضریب همبستگی اسپیرمن میان دو رتبه‌بندی (گویه‌ها)</t>
  </si>
  <si>
    <t xml:space="preserve">نسبت‌ها: تبدیل کدهای ورودی به نسبت اهمیت a(ij) و میانگین هندسی خبرگان</t>
  </si>
  <si>
    <t xml:space="preserve">هر خانه نسبت اهمیت مورد «الف» به مورد «ب» است: k ← k، 1 ← 1، -k ← 1/k. ستون «میانگین هندسی» داوری ترکیبی خبرگان است (فقط خبرگانی که آن مقایسه را پاسخ داده‌اند). این برگه محاسباتی است.</t>
  </si>
  <si>
    <t xml:space="preserve">میانگین هندسی خبرگان</t>
  </si>
  <si>
    <t xml:space="preserve">تعداد خبره</t>
  </si>
  <si>
    <t xml:space="preserve">ماتریس‌های تجمیعی — میانگین هندسی داوری‌های خبرگان</t>
  </si>
  <si>
    <t xml:space="preserve">منبع: برگهٔ «نسبت»، ستون «میانگین هندسی خبرگان». این برگه محاسباتی است و نباید ویرایش شود.</t>
  </si>
  <si>
    <t xml:space="preserve">خبرگان با پاسخ کامل:</t>
  </si>
  <si>
    <t xml:space="preserve">ماتریس مقایسهٔ مؤلفه‌ها (۹×۹)</t>
  </si>
  <si>
    <t xml:space="preserve">انحراف هر مقایسه از وزن‌های برآوردشده (۱ = کاملاً سازگار)</t>
  </si>
  <si>
    <t xml:space="preserve">مورد</t>
  </si>
  <si>
    <t xml:space="preserve">میانگین هندسی سطر</t>
  </si>
  <si>
    <t xml:space="preserve">وزن</t>
  </si>
  <si>
    <t xml:space="preserve">بیشینهٔ سطر</t>
  </si>
  <si>
    <t xml:space="preserve">تعداد گزینه‌ها (n)</t>
  </si>
  <si>
    <t xml:space="preserve">مقایسه‌های ثبت‌شده</t>
  </si>
  <si>
    <t xml:space="preserve">λmax</t>
  </si>
  <si>
    <t xml:space="preserve">RI (Saaty)</t>
  </si>
  <si>
    <t xml:space="preserve">بیشترین انحراف یک مقایسه</t>
  </si>
  <si>
    <t xml:space="preserve">مقایسهٔ دارای بیشترین انحراف</t>
  </si>
  <si>
    <t xml:space="preserve">مجموع ستون</t>
  </si>
  <si>
    <t xml:space="preserve">وزن (برای محاسبهٔ λmax)</t>
  </si>
  <si>
    <t xml:space="preserve">گویه‌های مؤلفهٔ م۱: آسیب‌پذیری ساختاری ناشی از تمرکز بر محصول واحد (۳×۳)</t>
  </si>
  <si>
    <t xml:space="preserve">گویه‌های مؤلفهٔ م۲: ضعف برندسازی و دشواری تمایز محصول (۴×۴)</t>
  </si>
  <si>
    <t xml:space="preserve">گویه‌های مؤلفهٔ م۳: دشواری جذب و حفظ مشتری و وفاداری پایین (۳×۳)</t>
  </si>
  <si>
    <t xml:space="preserve">گویه‌های مؤلفهٔ م۴: ضعف در برنامه‌ریزی، پیش‌بینی و مدیریت فروش (۴×۴)</t>
  </si>
  <si>
    <t xml:space="preserve">گویه‌های مؤلفهٔ م۵: ناکارآمدی و هزینه‌بری شبکه توزیع و فروش (۴×۴)</t>
  </si>
  <si>
    <t xml:space="preserve">گویه‌های مؤلفهٔ م۶: شدت رقابت و فشار قیمتی بازار (۳×۳)</t>
  </si>
  <si>
    <t xml:space="preserve">گویه‌های مؤلفهٔ م۷: تغییر ذائقه مصرف‌کننده و محدودیت بازار هدف (۳×۳)</t>
  </si>
  <si>
    <t xml:space="preserve">گویه‌های مؤلفهٔ م۸: ناپایداری تأمین و نوسان بهای مواد اولیه (۳×۳)</t>
  </si>
  <si>
    <t xml:space="preserve">گویه‌های مؤلفهٔ م۹: فشارهای اقتصاد کلان و کاهش قدرت خرید (۲×۲)</t>
  </si>
  <si>
    <t xml:space="preserve">ماتریس‌های مقایسهٔ زوجی — خبرهٔ ۱ (خ۱)</t>
  </si>
  <si>
    <t xml:space="preserve">منبع: برگهٔ «ورودی»، ستون خ۱ (از طریق برگهٔ «نسبت»). این برگه محاسباتی است و نباید ویرایش شود.</t>
  </si>
  <si>
    <t xml:space="preserve">مقایسه‌های ثبت‌شده:</t>
  </si>
  <si>
    <t xml:space="preserve">ماتریس‌های مقایسهٔ زوجی — خبرهٔ ۲ (خ۲)</t>
  </si>
  <si>
    <t xml:space="preserve">منبع: برگهٔ «ورودی»، ستون خ۲ (از طریق برگهٔ «نسبت»). این برگه محاسباتی است و نباید ویرایش شود.</t>
  </si>
  <si>
    <t xml:space="preserve">ماتریس‌های مقایسهٔ زوجی — خبرهٔ ۳ (خ۳)</t>
  </si>
  <si>
    <t xml:space="preserve">منبع: برگهٔ «ورودی»، ستون خ۳ (از طریق برگهٔ «نسبت»). این برگه محاسباتی است و نباید ویرایش شود.</t>
  </si>
  <si>
    <t xml:space="preserve">ماتریس‌های مقایسهٔ زوجی — خبرهٔ ۴ (خ۴)</t>
  </si>
  <si>
    <t xml:space="preserve">منبع: برگهٔ «ورودی»، ستون خ۴ (از طریق برگهٔ «نسبت»). این برگه محاسباتی است و نباید ویرایش شود.</t>
  </si>
  <si>
    <t xml:space="preserve">ماتریس‌های مقایسهٔ زوجی — خبرهٔ ۵ (خ۵)</t>
  </si>
  <si>
    <t xml:space="preserve">منبع: برگهٔ «ورودی»، ستون خ۵ (از طریق برگهٔ «نسبت»). این برگه محاسباتی است و نباید ویرایش شود.</t>
  </si>
  <si>
    <t xml:space="preserve">ماتریس‌های مقایسهٔ زوجی — خبرهٔ ۶ (خ۶)</t>
  </si>
  <si>
    <t xml:space="preserve">منبع: برگهٔ «ورودی»، ستون خ۶ (از طریق برگهٔ «نسبت»). این برگه محاسباتی است و نباید ویرایش شود.</t>
  </si>
  <si>
    <t xml:space="preserve">ماتریس‌های مقایسهٔ زوجی — خبرهٔ ۷ (خ۷)</t>
  </si>
  <si>
    <t xml:space="preserve">منبع: برگهٔ «ورودی»، ستون خ۷ (از طریق برگهٔ «نسبت»). این برگه محاسباتی است و نباید ویرایش شود.</t>
  </si>
  <si>
    <t xml:space="preserve">وزن‌دهی مستقیم فعلی (مرجع مقایسه با مقایسهٔ زوجی)</t>
  </si>
  <si>
    <t xml:space="preserve">امتیازهای دور سوم دلفی (هفت خبره، طیف ۱ تا ۵؛ پیوست پایان‌نامه). وزن هر گویه = میانگین امتیاز ÷ مجموع میانگین‌های ۲۹ گویه؛ وزن هر مؤلفه = میانگین امتیاز مؤلفه ÷ مجموع میانگین‌های نُه مؤلفه (بخش ۴-۶-۲ پایان‌نامه).</t>
  </si>
  <si>
    <t xml:space="preserve">میانگین</t>
  </si>
  <si>
    <t xml:space="preserve">وزن مؤلفه‌ها در روش مستقیم</t>
  </si>
  <si>
    <t xml:space="preserve">میانگین امتیاز مؤلفه</t>
  </si>
</sst>
</file>

<file path=xl/styles.xml><?xml version="1.0" encoding="utf-8"?>
<styleSheet xmlns="http://schemas.openxmlformats.org/spreadsheetml/2006/main">
  <numFmts count="9">
    <numFmt numFmtId="164" formatCode="General"/>
    <numFmt numFmtId="165" formatCode="0"/>
    <numFmt numFmtId="166" formatCode="0.00"/>
    <numFmt numFmtId="167" formatCode="0.000"/>
    <numFmt numFmtId="168" formatCode="0.0000"/>
    <numFmt numFmtId="169" formatCode="\+0;\-0;0"/>
    <numFmt numFmtId="170" formatCode="0.0"/>
    <numFmt numFmtId="171" formatCode="0&quot; از 7&quot;"/>
    <numFmt numFmtId="172" formatCode="0&quot; از 70&quot;"/>
  </numFmts>
  <fonts count="19">
    <font>
      <sz val="10"/>
      <name val="Arial"/>
      <family val="0"/>
      <charset val="1"/>
    </font>
    <font>
      <sz val="10"/>
      <name val="Arial"/>
      <family val="0"/>
    </font>
    <font>
      <sz val="10"/>
      <name val="Arial"/>
      <family val="0"/>
    </font>
    <font>
      <sz val="10"/>
      <name val="Arial"/>
      <family val="0"/>
    </font>
    <font>
      <b val="true"/>
      <sz val="13"/>
      <color rgb="FFFFFFFF"/>
      <name val="Arial"/>
      <family val="0"/>
      <charset val="1"/>
    </font>
    <font>
      <sz val="11"/>
      <color theme="1"/>
      <name val="Calibri"/>
      <family val="2"/>
      <charset val="1"/>
    </font>
    <font>
      <i val="true"/>
      <sz val="9"/>
      <name val="Arial"/>
      <family val="0"/>
      <charset val="1"/>
    </font>
    <font>
      <b val="true"/>
      <sz val="10"/>
      <name val="Arial"/>
      <family val="0"/>
      <charset val="1"/>
    </font>
    <font>
      <b val="true"/>
      <sz val="11"/>
      <name val="Arial"/>
      <family val="0"/>
      <charset val="1"/>
    </font>
    <font>
      <b val="true"/>
      <sz val="10"/>
      <color rgb="FF0000FF"/>
      <name val="Arial"/>
      <family val="0"/>
      <charset val="1"/>
    </font>
    <font>
      <sz val="10"/>
      <color rgb="FF0000FF"/>
      <name val="Arial"/>
      <family val="0"/>
      <charset val="1"/>
    </font>
    <font>
      <b val="true"/>
      <sz val="10"/>
      <color rgb="FF9C0006"/>
      <name val="Arial"/>
      <family val="0"/>
      <charset val="1"/>
    </font>
    <font>
      <sz val="10"/>
      <color rgb="FF006100"/>
      <name val="Arial"/>
      <family val="0"/>
      <charset val="1"/>
    </font>
    <font>
      <sz val="10"/>
      <name val="Arial"/>
      <family val="2"/>
    </font>
    <font>
      <sz val="10"/>
      <name val="FreeSans"/>
      <family val="2"/>
    </font>
    <font>
      <b val="true"/>
      <sz val="8"/>
      <name val="Arial"/>
      <family val="0"/>
      <charset val="1"/>
    </font>
    <font>
      <sz val="8"/>
      <name val="Arial"/>
      <family val="0"/>
      <charset val="1"/>
    </font>
    <font>
      <i val="true"/>
      <sz val="9"/>
      <color rgb="FF404040"/>
      <name val="Arial"/>
      <family val="0"/>
      <charset val="1"/>
    </font>
    <font>
      <b val="true"/>
      <sz val="9"/>
      <name val="Arial"/>
      <family val="0"/>
      <charset val="1"/>
    </font>
  </fonts>
  <fills count="9">
    <fill>
      <patternFill patternType="none"/>
    </fill>
    <fill>
      <patternFill patternType="gray125"/>
    </fill>
    <fill>
      <patternFill patternType="solid">
        <fgColor rgb="FF1F3864"/>
        <bgColor rgb="FF333399"/>
      </patternFill>
    </fill>
    <fill>
      <patternFill patternType="solid">
        <fgColor rgb="FFFFC7CE"/>
        <bgColor rgb="FFE7E6E6"/>
      </patternFill>
    </fill>
    <fill>
      <patternFill patternType="solid">
        <fgColor rgb="FFD9E1F2"/>
        <bgColor rgb="FFE7E6E6"/>
      </patternFill>
    </fill>
    <fill>
      <patternFill patternType="solid">
        <fgColor rgb="FFEDEDED"/>
        <bgColor rgb="FFF2F2F2"/>
      </patternFill>
    </fill>
    <fill>
      <patternFill patternType="solid">
        <fgColor rgb="FFFFF2CC"/>
        <bgColor rgb="FFF2F2F2"/>
      </patternFill>
    </fill>
    <fill>
      <patternFill patternType="solid">
        <fgColor rgb="FFC6EFCE"/>
        <bgColor rgb="FFD9E1F2"/>
      </patternFill>
    </fill>
    <fill>
      <patternFill patternType="solid">
        <fgColor rgb="FFF2F2F2"/>
        <bgColor rgb="FFEDEDED"/>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readingOrder="2"/>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readingOrder="2"/>
      <protection locked="true" hidden="false"/>
    </xf>
    <xf numFmtId="164" fontId="7" fillId="3" borderId="0" xfId="0" applyFont="true" applyBorder="true" applyAlignment="true" applyProtection="false">
      <alignment horizontal="general" vertical="center" textRotation="0" wrapText="true" indent="0" shrinkToFit="false" readingOrder="2"/>
      <protection locked="true" hidden="false"/>
    </xf>
    <xf numFmtId="164" fontId="8" fillId="4" borderId="0" xfId="0" applyFont="true" applyBorder="true" applyAlignment="true" applyProtection="false">
      <alignment horizontal="general" vertical="center" textRotation="0" wrapText="false" indent="0" shrinkToFit="false" readingOrder="2"/>
      <protection locked="true" hidden="false"/>
    </xf>
    <xf numFmtId="164" fontId="0" fillId="0" borderId="0" xfId="0" applyFont="true" applyBorder="true" applyAlignment="true" applyProtection="false">
      <alignment horizontal="general" vertical="center" textRotation="0" wrapText="true" indent="0" shrinkToFit="false" readingOrder="2"/>
      <protection locked="true" hidden="false"/>
    </xf>
    <xf numFmtId="164" fontId="7" fillId="5" borderId="1" xfId="0" applyFont="true" applyBorder="true" applyAlignment="true" applyProtection="false">
      <alignment horizontal="center" vertical="center" textRotation="0" wrapText="true" indent="0" shrinkToFit="false" readingOrder="2"/>
      <protection locked="true" hidden="false"/>
    </xf>
    <xf numFmtId="164" fontId="7" fillId="5" borderId="1" xfId="0" applyFont="true" applyBorder="true" applyAlignment="true" applyProtection="false">
      <alignment horizontal="center" vertical="center" textRotation="0" wrapText="false" indent="0" shrinkToFit="false" readingOrder="2"/>
      <protection locked="true" hidden="false"/>
    </xf>
    <xf numFmtId="164" fontId="0" fillId="0" borderId="1" xfId="0" applyFont="true" applyBorder="true" applyAlignment="true" applyProtection="false">
      <alignment horizontal="general" vertical="center" textRotation="0" wrapText="true" indent="0" shrinkToFit="false" readingOrder="2"/>
      <protection locked="true" hidden="false"/>
    </xf>
    <xf numFmtId="164" fontId="7" fillId="0" borderId="1" xfId="0" applyFont="true" applyBorder="true" applyAlignment="true" applyProtection="false">
      <alignment horizontal="center" vertical="center" textRotation="0" wrapText="false" indent="0" shrinkToFit="false" readingOrder="1"/>
      <protection locked="true" hidden="false"/>
    </xf>
    <xf numFmtId="165" fontId="0" fillId="0" borderId="1" xfId="0" applyFont="true" applyBorder="true" applyAlignment="true" applyProtection="false">
      <alignment horizontal="center" vertical="center" textRotation="0" wrapText="false" indent="0" shrinkToFit="false" readingOrder="1"/>
      <protection locked="true" hidden="false"/>
    </xf>
    <xf numFmtId="164" fontId="0" fillId="0" borderId="1" xfId="0" applyFont="true" applyBorder="true" applyAlignment="true" applyProtection="false">
      <alignment horizontal="center" vertical="center" textRotation="0" wrapText="false" indent="0" shrinkToFit="false" readingOrder="2"/>
      <protection locked="true" hidden="false"/>
    </xf>
    <xf numFmtId="165" fontId="9" fillId="6" borderId="1" xfId="0" applyFont="true" applyBorder="true" applyAlignment="true" applyProtection="false">
      <alignment horizontal="center" vertical="center" textRotation="0" wrapText="false" indent="0" shrinkToFit="false" readingOrder="1"/>
      <protection locked="true" hidden="false"/>
    </xf>
    <xf numFmtId="164" fontId="7" fillId="0" borderId="1" xfId="0" applyFont="true" applyBorder="true" applyAlignment="true" applyProtection="false">
      <alignment horizontal="general" vertical="center" textRotation="0" wrapText="false" indent="0" shrinkToFit="false" readingOrder="2"/>
      <protection locked="true" hidden="false"/>
    </xf>
    <xf numFmtId="166" fontId="9" fillId="6" borderId="1" xfId="0" applyFont="true" applyBorder="true" applyAlignment="true" applyProtection="true">
      <alignment horizontal="center" vertical="center" textRotation="0" wrapText="false" indent="0" shrinkToFit="false" readingOrder="1"/>
      <protection locked="false" hidden="false"/>
    </xf>
    <xf numFmtId="164" fontId="7" fillId="5" borderId="1" xfId="0" applyFont="true" applyBorder="true" applyAlignment="true" applyProtection="false">
      <alignment horizontal="center" vertical="center" textRotation="0" wrapText="false" indent="0" shrinkToFit="false" readingOrder="1"/>
      <protection locked="true" hidden="false"/>
    </xf>
    <xf numFmtId="166" fontId="10" fillId="0" borderId="1" xfId="0" applyFont="true" applyBorder="true" applyAlignment="true" applyProtection="true">
      <alignment horizontal="center" vertical="center" textRotation="0" wrapText="false" indent="0" shrinkToFit="false" readingOrder="1"/>
      <protection locked="false" hidden="false"/>
    </xf>
    <xf numFmtId="164" fontId="7" fillId="0" borderId="1" xfId="0" applyFont="true" applyBorder="true" applyAlignment="true" applyProtection="false">
      <alignment horizontal="left" vertical="center" textRotation="0" wrapText="false" indent="0" shrinkToFit="false" readingOrder="1"/>
      <protection locked="true" hidden="false"/>
    </xf>
    <xf numFmtId="164" fontId="7" fillId="0" borderId="1" xfId="0" applyFont="true" applyBorder="true" applyAlignment="true" applyProtection="false">
      <alignment horizontal="center" vertical="center" textRotation="0" wrapText="false" indent="0" shrinkToFit="false" readingOrder="2"/>
      <protection locked="true" hidden="false"/>
    </xf>
    <xf numFmtId="165" fontId="10" fillId="6" borderId="1" xfId="0" applyFont="true" applyBorder="true" applyAlignment="true" applyProtection="false">
      <alignment horizontal="center" vertical="center" textRotation="0" wrapText="false" indent="0" shrinkToFit="false" readingOrder="1"/>
      <protection locked="true" hidden="false"/>
    </xf>
    <xf numFmtId="164" fontId="0" fillId="0" borderId="1" xfId="0" applyFont="true" applyBorder="true" applyAlignment="true" applyProtection="false">
      <alignment horizontal="general" vertical="center" textRotation="0" wrapText="false" indent="0" shrinkToFit="false" readingOrder="2"/>
      <protection locked="true" hidden="false"/>
    </xf>
    <xf numFmtId="164" fontId="11" fillId="3" borderId="1" xfId="0" applyFont="true" applyBorder="true" applyAlignment="true" applyProtection="false">
      <alignment horizontal="center" vertical="center" textRotation="0" wrapText="false" indent="0" shrinkToFit="false" readingOrder="1"/>
      <protection locked="true" hidden="false"/>
    </xf>
    <xf numFmtId="164" fontId="12" fillId="7" borderId="1" xfId="0" applyFont="true" applyBorder="true" applyAlignment="true" applyProtection="false">
      <alignment horizontal="center" vertical="center" textRotation="0" wrapText="false" indent="0" shrinkToFit="false" readingOrder="1"/>
      <protection locked="true" hidden="false"/>
    </xf>
    <xf numFmtId="164" fontId="0" fillId="5" borderId="1" xfId="0" applyFont="true" applyBorder="true" applyAlignment="true" applyProtection="false">
      <alignment horizontal="general" vertical="center" textRotation="0" wrapText="false" indent="0" shrinkToFit="false" readingOrder="2"/>
      <protection locked="true" hidden="false"/>
    </xf>
    <xf numFmtId="164" fontId="7" fillId="5" borderId="1" xfId="0" applyFont="true" applyBorder="true" applyAlignment="true" applyProtection="false">
      <alignment horizontal="general" vertical="center" textRotation="0" wrapText="false" indent="0" shrinkToFit="false" readingOrder="2"/>
      <protection locked="true" hidden="false"/>
    </xf>
    <xf numFmtId="165" fontId="7" fillId="0" borderId="1" xfId="0" applyFont="true" applyBorder="true" applyAlignment="true" applyProtection="false">
      <alignment horizontal="center" vertical="center" textRotation="0" wrapText="false" indent="0" shrinkToFit="false" readingOrder="2"/>
      <protection locked="true" hidden="false"/>
    </xf>
    <xf numFmtId="164" fontId="7" fillId="4" borderId="1" xfId="0" applyFont="true" applyBorder="true" applyAlignment="true" applyProtection="false">
      <alignment horizontal="center" vertical="center" textRotation="0" wrapText="true" indent="0" shrinkToFit="false" readingOrder="2"/>
      <protection locked="true" hidden="false"/>
    </xf>
    <xf numFmtId="165" fontId="10" fillId="6" borderId="1" xfId="0" applyFont="true" applyBorder="true" applyAlignment="true" applyProtection="true">
      <alignment horizontal="center" vertical="center" textRotation="0" wrapText="false" indent="0" shrinkToFit="false" readingOrder="1"/>
      <protection locked="false" hidden="false"/>
    </xf>
    <xf numFmtId="165" fontId="0" fillId="0" borderId="1" xfId="0" applyFont="true" applyBorder="true" applyAlignment="true" applyProtection="false">
      <alignment horizontal="center" vertical="center" textRotation="0" wrapText="false" indent="0" shrinkToFit="false" readingOrder="2"/>
      <protection locked="true" hidden="false"/>
    </xf>
    <xf numFmtId="166" fontId="0" fillId="0" borderId="1" xfId="0" applyFont="true" applyBorder="true" applyAlignment="true" applyProtection="false">
      <alignment horizontal="center" vertical="center" textRotation="0" wrapText="false" indent="0" shrinkToFit="false" readingOrder="1"/>
      <protection locked="true" hidden="false"/>
    </xf>
    <xf numFmtId="167" fontId="0" fillId="0" borderId="1" xfId="0" applyFont="true" applyBorder="true" applyAlignment="true" applyProtection="false">
      <alignment horizontal="center" vertical="center" textRotation="0" wrapText="false" indent="0" shrinkToFit="false" readingOrder="1"/>
      <protection locked="true" hidden="false"/>
    </xf>
    <xf numFmtId="164" fontId="7" fillId="0" borderId="0" xfId="0" applyFont="true" applyBorder="true" applyAlignment="true" applyProtection="false">
      <alignment horizontal="general" vertical="center" textRotation="0" wrapText="false" indent="0" shrinkToFit="false" readingOrder="2"/>
      <protection locked="true" hidden="false"/>
    </xf>
    <xf numFmtId="164" fontId="11" fillId="0" borderId="0" xfId="0" applyFont="true" applyBorder="true" applyAlignment="true" applyProtection="false">
      <alignment horizontal="general" vertical="center" textRotation="0" wrapText="false" indent="0" shrinkToFit="false" readingOrder="2"/>
      <protection locked="true" hidden="false"/>
    </xf>
    <xf numFmtId="164" fontId="8" fillId="0" borderId="0" xfId="0" applyFont="true" applyBorder="false" applyAlignment="true" applyProtection="false">
      <alignment horizontal="general" vertical="center" textRotation="0" wrapText="false" indent="0" shrinkToFit="false" readingOrder="2"/>
      <protection locked="true" hidden="false"/>
    </xf>
    <xf numFmtId="164" fontId="15" fillId="8" borderId="1" xfId="0" applyFont="true" applyBorder="true" applyAlignment="true" applyProtection="false">
      <alignment horizontal="center" vertical="center" textRotation="0" wrapText="true" indent="0" shrinkToFit="false" readingOrder="2"/>
      <protection locked="true" hidden="false"/>
    </xf>
    <xf numFmtId="168" fontId="7" fillId="0" borderId="1" xfId="0" applyFont="true" applyBorder="true" applyAlignment="true" applyProtection="false">
      <alignment horizontal="center" vertical="center" textRotation="0" wrapText="false" indent="0" shrinkToFit="false" readingOrder="1"/>
      <protection locked="true" hidden="false"/>
    </xf>
    <xf numFmtId="168" fontId="0" fillId="0" borderId="1" xfId="0" applyFont="true" applyBorder="true" applyAlignment="true" applyProtection="false">
      <alignment horizontal="center" vertical="center" textRotation="0" wrapText="false" indent="0" shrinkToFit="false" readingOrder="1"/>
      <protection locked="true" hidden="false"/>
    </xf>
    <xf numFmtId="169" fontId="0" fillId="0" borderId="1" xfId="0" applyFont="true" applyBorder="true" applyAlignment="true" applyProtection="false">
      <alignment horizontal="center" vertical="center" textRotation="0" wrapText="false" indent="0" shrinkToFit="false" readingOrder="1"/>
      <protection locked="true" hidden="false"/>
    </xf>
    <xf numFmtId="170" fontId="16" fillId="8" borderId="1" xfId="0" applyFont="true" applyBorder="true" applyAlignment="true" applyProtection="false">
      <alignment horizontal="center" vertical="center" textRotation="0" wrapText="false" indent="0" shrinkToFit="false" readingOrder="1"/>
      <protection locked="true" hidden="false"/>
    </xf>
    <xf numFmtId="168" fontId="7" fillId="5" borderId="1" xfId="0" applyFont="true" applyBorder="true" applyAlignment="true" applyProtection="false">
      <alignment horizontal="center" vertical="center" textRotation="0" wrapText="false" indent="0" shrinkToFit="false" readingOrder="1"/>
      <protection locked="true" hidden="false"/>
    </xf>
    <xf numFmtId="167" fontId="7" fillId="0" borderId="1" xfId="0" applyFont="true" applyBorder="true" applyAlignment="true" applyProtection="false">
      <alignment horizontal="center" vertical="center" textRotation="0" wrapText="false" indent="0" shrinkToFit="false" readingOrder="1"/>
      <protection locked="true" hidden="false"/>
    </xf>
    <xf numFmtId="164" fontId="17" fillId="0" borderId="0" xfId="0" applyFont="true" applyBorder="false" applyAlignment="true" applyProtection="false">
      <alignment horizontal="general" vertical="center" textRotation="0" wrapText="false" indent="0" shrinkToFit="false" readingOrder="2"/>
      <protection locked="true" hidden="false"/>
    </xf>
    <xf numFmtId="164" fontId="7" fillId="0" borderId="0" xfId="0" applyFont="true" applyBorder="false" applyAlignment="true" applyProtection="false">
      <alignment horizontal="general" vertical="center" textRotation="0" wrapText="false" indent="0" shrinkToFit="false" readingOrder="2"/>
      <protection locked="true" hidden="false"/>
    </xf>
    <xf numFmtId="171" fontId="7" fillId="0" borderId="1" xfId="0" applyFont="true" applyBorder="true" applyAlignment="true" applyProtection="false">
      <alignment horizontal="center" vertical="center" textRotation="0" wrapText="false" indent="0" shrinkToFit="false" readingOrder="2"/>
      <protection locked="true" hidden="false"/>
    </xf>
    <xf numFmtId="164" fontId="7" fillId="4" borderId="0" xfId="0" applyFont="true" applyBorder="true" applyAlignment="true" applyProtection="false">
      <alignment horizontal="general" vertical="center" textRotation="0" wrapText="false" indent="0" shrinkToFit="false" readingOrder="2"/>
      <protection locked="true" hidden="false"/>
    </xf>
    <xf numFmtId="164" fontId="18" fillId="8" borderId="0" xfId="0" applyFont="true" applyBorder="true" applyAlignment="true" applyProtection="false">
      <alignment horizontal="general" vertical="center" textRotation="0" wrapText="false" indent="0" shrinkToFit="false" readingOrder="2"/>
      <protection locked="true" hidden="false"/>
    </xf>
    <xf numFmtId="164" fontId="15" fillId="5" borderId="1" xfId="0" applyFont="true" applyBorder="true" applyAlignment="true" applyProtection="false">
      <alignment horizontal="center" vertical="center" textRotation="0" wrapText="true" indent="0" shrinkToFit="false" readingOrder="2"/>
      <protection locked="true" hidden="false"/>
    </xf>
    <xf numFmtId="164" fontId="7" fillId="5" borderId="1" xfId="0" applyFont="true" applyBorder="true" applyAlignment="true" applyProtection="false">
      <alignment horizontal="general" vertical="center" textRotation="0" wrapText="true" indent="0" shrinkToFit="false" readingOrder="2"/>
      <protection locked="true" hidden="false"/>
    </xf>
    <xf numFmtId="166" fontId="16" fillId="8" borderId="1" xfId="0" applyFont="true" applyBorder="true" applyAlignment="true" applyProtection="false">
      <alignment horizontal="center" vertical="center" textRotation="0" wrapText="false" indent="0" shrinkToFit="false" readingOrder="1"/>
      <protection locked="true" hidden="false"/>
    </xf>
    <xf numFmtId="164" fontId="0" fillId="8" borderId="1" xfId="0" applyFont="true" applyBorder="true" applyAlignment="true" applyProtection="false">
      <alignment horizontal="general" vertical="center" textRotation="0" wrapText="false" indent="0" shrinkToFit="false" readingOrder="2"/>
      <protection locked="true" hidden="false"/>
    </xf>
    <xf numFmtId="164" fontId="7" fillId="8" borderId="1" xfId="0" applyFont="true" applyBorder="true" applyAlignment="true" applyProtection="false">
      <alignment horizontal="general" vertical="center" textRotation="0" wrapText="false" indent="0" shrinkToFit="false" readingOrder="2"/>
      <protection locked="true" hidden="false"/>
    </xf>
    <xf numFmtId="167" fontId="0" fillId="8" borderId="1" xfId="0" applyFont="true" applyBorder="true" applyAlignment="true" applyProtection="false">
      <alignment horizontal="center" vertical="center" textRotation="0" wrapText="false" indent="0" shrinkToFit="false" readingOrder="1"/>
      <protection locked="true" hidden="false"/>
    </xf>
    <xf numFmtId="168" fontId="0" fillId="8" borderId="1" xfId="0" applyFont="true" applyBorder="true" applyAlignment="true" applyProtection="false">
      <alignment horizontal="center" vertical="center" textRotation="0" wrapText="false" indent="0" shrinkToFit="false" readingOrder="1"/>
      <protection locked="true" hidden="false"/>
    </xf>
    <xf numFmtId="172" fontId="7" fillId="0" borderId="1" xfId="0" applyFont="true" applyBorder="true" applyAlignment="true" applyProtection="false">
      <alignment horizontal="center" vertical="center" textRotation="0" wrapText="false" indent="0" shrinkToFit="false" readingOrder="2"/>
      <protection locked="true" hidden="false"/>
    </xf>
    <xf numFmtId="165" fontId="10" fillId="0" borderId="1" xfId="0" applyFont="true" applyBorder="true" applyAlignment="true" applyProtection="false">
      <alignment horizontal="center" vertical="center" textRotation="0" wrapText="false" indent="0" shrinkToFit="false" readingOrder="1"/>
      <protection locked="true" hidden="false"/>
    </xf>
    <xf numFmtId="166" fontId="7" fillId="5" borderId="1" xfId="0" applyFont="true" applyBorder="true" applyAlignment="true" applyProtection="false">
      <alignment horizontal="center" vertical="center" textRotation="0" wrapText="false" indent="0" shrinkToFit="false" readingOrder="1"/>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b val="1"/>
        <color rgb="FF9C0006"/>
      </font>
      <fill>
        <patternFill>
          <bgColor rgb="FFFFC7CE"/>
        </patternFill>
      </fill>
    </dxf>
    <dxf>
      <font>
        <color rgb="FF006100"/>
      </font>
      <fill>
        <patternFill>
          <bgColor rgb="FFC6EFCE"/>
        </patternFill>
      </fill>
    </dxf>
    <dxf>
      <font>
        <color rgb="FF595959"/>
      </font>
      <fill>
        <patternFill>
          <bgColor rgb="FFE7E6E6"/>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DEDED"/>
      <rgbColor rgb="FFC6EFCE"/>
      <rgbColor rgb="FFE7E6E6"/>
      <rgbColor rgb="FF99CCFF"/>
      <rgbColor rgb="FFFF99CC"/>
      <rgbColor rgb="FFCC99FF"/>
      <rgbColor rgb="FFFFC7CE"/>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0"/>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4" min="3" style="0" width="22"/>
    <col collapsed="false" customWidth="true" hidden="false" outlineLevel="0" max="5" min="5" style="0" width="62"/>
  </cols>
  <sheetData>
    <row r="1" customFormat="false" ht="25.5" hidden="false" customHeight="true" outlineLevel="0" collapsed="false">
      <c r="A1" s="1" t="s">
        <v>0</v>
      </c>
      <c r="B1" s="2"/>
      <c r="C1" s="2"/>
      <c r="D1" s="2"/>
      <c r="E1" s="2"/>
    </row>
    <row r="2" customFormat="false" ht="15" hidden="false" customHeight="false" outlineLevel="0" collapsed="false">
      <c r="A2" s="3" t="s">
        <v>1</v>
      </c>
    </row>
    <row r="4" customFormat="false" ht="75" hidden="false" customHeight="true" outlineLevel="0" collapsed="false">
      <c r="B4" s="4" t="s">
        <v>2</v>
      </c>
      <c r="C4" s="4"/>
      <c r="D4" s="4"/>
      <c r="E4" s="4"/>
    </row>
    <row r="6" customFormat="false" ht="19.5" hidden="false" customHeight="true" outlineLevel="0" collapsed="false">
      <c r="B6" s="5" t="s">
        <v>3</v>
      </c>
      <c r="C6" s="5"/>
      <c r="D6" s="5"/>
      <c r="E6" s="5"/>
    </row>
    <row r="7" customFormat="false" ht="60.75" hidden="false" customHeight="true" outlineLevel="0" collapsed="false">
      <c r="B7" s="6" t="s">
        <v>4</v>
      </c>
      <c r="C7" s="6"/>
      <c r="D7" s="6"/>
      <c r="E7" s="6"/>
    </row>
    <row r="9" customFormat="false" ht="19.5" hidden="false" customHeight="true" outlineLevel="0" collapsed="false">
      <c r="B9" s="5" t="s">
        <v>5</v>
      </c>
      <c r="C9" s="5"/>
      <c r="D9" s="5"/>
      <c r="E9" s="5"/>
    </row>
    <row r="10" customFormat="false" ht="31.5" hidden="false" customHeight="true" outlineLevel="0" collapsed="false">
      <c r="B10" s="6" t="s">
        <v>6</v>
      </c>
      <c r="C10" s="6"/>
      <c r="D10" s="6"/>
      <c r="E10" s="6"/>
    </row>
    <row r="11" customFormat="false" ht="60.75" hidden="false" customHeight="true" outlineLevel="0" collapsed="false">
      <c r="B11" s="6" t="s">
        <v>7</v>
      </c>
      <c r="C11" s="6"/>
      <c r="D11" s="6"/>
      <c r="E11" s="6"/>
    </row>
    <row r="12" customFormat="false" ht="31.5" hidden="false" customHeight="true" outlineLevel="0" collapsed="false">
      <c r="B12" s="6" t="s">
        <v>8</v>
      </c>
      <c r="C12" s="6"/>
      <c r="D12" s="6"/>
      <c r="E12" s="6"/>
    </row>
    <row r="13" customFormat="false" ht="31.5" hidden="false" customHeight="true" outlineLevel="0" collapsed="false">
      <c r="B13" s="6" t="s">
        <v>9</v>
      </c>
      <c r="C13" s="6"/>
      <c r="D13" s="6"/>
      <c r="E13" s="6"/>
    </row>
    <row r="15" customFormat="false" ht="19.5" hidden="false" customHeight="true" outlineLevel="0" collapsed="false">
      <c r="B15" s="5" t="s">
        <v>10</v>
      </c>
      <c r="C15" s="5"/>
      <c r="D15" s="5"/>
      <c r="E15" s="5"/>
    </row>
    <row r="16" customFormat="false" ht="15" hidden="false" customHeight="false" outlineLevel="0" collapsed="false">
      <c r="B16" s="7" t="s">
        <v>11</v>
      </c>
      <c r="C16" s="7" t="s">
        <v>12</v>
      </c>
      <c r="D16" s="8" t="s">
        <v>13</v>
      </c>
      <c r="E16" s="8"/>
    </row>
    <row r="17" customFormat="false" ht="30" hidden="false" customHeight="true" outlineLevel="0" collapsed="false">
      <c r="B17" s="9" t="s">
        <v>14</v>
      </c>
      <c r="C17" s="10" t="s">
        <v>15</v>
      </c>
      <c r="D17" s="9" t="s">
        <v>16</v>
      </c>
      <c r="E17" s="9"/>
    </row>
    <row r="18" customFormat="false" ht="30" hidden="false" customHeight="true" outlineLevel="0" collapsed="false">
      <c r="B18" s="9" t="s">
        <v>17</v>
      </c>
      <c r="C18" s="10" t="s">
        <v>18</v>
      </c>
      <c r="D18" s="9" t="s">
        <v>19</v>
      </c>
      <c r="E18" s="9"/>
    </row>
    <row r="19" customFormat="false" ht="30" hidden="false" customHeight="true" outlineLevel="0" collapsed="false">
      <c r="B19" s="9" t="s">
        <v>20</v>
      </c>
      <c r="C19" s="10" t="s">
        <v>21</v>
      </c>
      <c r="D19" s="9" t="s">
        <v>22</v>
      </c>
      <c r="E19" s="9"/>
    </row>
    <row r="21" customFormat="false" ht="46.5" hidden="false" customHeight="true" outlineLevel="0" collapsed="false">
      <c r="B21" s="6" t="s">
        <v>23</v>
      </c>
      <c r="C21" s="6"/>
      <c r="D21" s="6"/>
      <c r="E21" s="6"/>
    </row>
    <row r="22" customFormat="false" ht="15" hidden="false" customHeight="false" outlineLevel="0" collapsed="false">
      <c r="B22" s="7" t="s">
        <v>24</v>
      </c>
      <c r="C22" s="7" t="s">
        <v>25</v>
      </c>
      <c r="D22" s="7" t="s">
        <v>26</v>
      </c>
      <c r="E22" s="7" t="s">
        <v>27</v>
      </c>
    </row>
    <row r="23" customFormat="false" ht="15" hidden="false" customHeight="false" outlineLevel="0" collapsed="false">
      <c r="B23" s="11" t="n">
        <v>38</v>
      </c>
      <c r="C23" s="12" t="s">
        <v>28</v>
      </c>
      <c r="D23" s="12" t="s">
        <v>29</v>
      </c>
      <c r="E23" s="13" t="n">
        <v>-4</v>
      </c>
    </row>
    <row r="25" customFormat="false" ht="19.5" hidden="false" customHeight="true" outlineLevel="0" collapsed="false">
      <c r="B25" s="5" t="s">
        <v>30</v>
      </c>
      <c r="C25" s="5"/>
      <c r="D25" s="5"/>
      <c r="E25" s="5"/>
    </row>
    <row r="26" customFormat="false" ht="30" hidden="false" customHeight="true" outlineLevel="0" collapsed="false">
      <c r="B26" s="14" t="s">
        <v>31</v>
      </c>
      <c r="C26" s="15" t="n">
        <v>0.1</v>
      </c>
      <c r="D26" s="9" t="s">
        <v>32</v>
      </c>
      <c r="E26" s="9"/>
    </row>
    <row r="28" customFormat="false" ht="15" hidden="false" customHeight="false" outlineLevel="0" collapsed="false">
      <c r="B28" s="8" t="s">
        <v>33</v>
      </c>
      <c r="C28" s="16" t="s">
        <v>34</v>
      </c>
    </row>
    <row r="29" customFormat="false" ht="15" hidden="false" customHeight="false" outlineLevel="0" collapsed="false">
      <c r="B29" s="11" t="n">
        <v>1</v>
      </c>
      <c r="C29" s="17" t="n">
        <v>0</v>
      </c>
    </row>
    <row r="30" customFormat="false" ht="15" hidden="false" customHeight="false" outlineLevel="0" collapsed="false">
      <c r="B30" s="11" t="n">
        <v>2</v>
      </c>
      <c r="C30" s="17" t="n">
        <v>0</v>
      </c>
    </row>
    <row r="31" customFormat="false" ht="15" hidden="false" customHeight="false" outlineLevel="0" collapsed="false">
      <c r="B31" s="11" t="n">
        <v>3</v>
      </c>
      <c r="C31" s="17" t="n">
        <v>0.58</v>
      </c>
    </row>
    <row r="32" customFormat="false" ht="15" hidden="false" customHeight="false" outlineLevel="0" collapsed="false">
      <c r="B32" s="11" t="n">
        <v>4</v>
      </c>
      <c r="C32" s="17" t="n">
        <v>0.9</v>
      </c>
    </row>
    <row r="33" customFormat="false" ht="15" hidden="false" customHeight="false" outlineLevel="0" collapsed="false">
      <c r="B33" s="11" t="n">
        <v>5</v>
      </c>
      <c r="C33" s="17" t="n">
        <v>1.12</v>
      </c>
    </row>
    <row r="34" customFormat="false" ht="15" hidden="false" customHeight="false" outlineLevel="0" collapsed="false">
      <c r="B34" s="11" t="n">
        <v>6</v>
      </c>
      <c r="C34" s="17" t="n">
        <v>1.24</v>
      </c>
    </row>
    <row r="35" customFormat="false" ht="15" hidden="false" customHeight="false" outlineLevel="0" collapsed="false">
      <c r="B35" s="11" t="n">
        <v>7</v>
      </c>
      <c r="C35" s="17" t="n">
        <v>1.32</v>
      </c>
    </row>
    <row r="36" customFormat="false" ht="15" hidden="false" customHeight="false" outlineLevel="0" collapsed="false">
      <c r="B36" s="11" t="n">
        <v>8</v>
      </c>
      <c r="C36" s="17" t="n">
        <v>1.41</v>
      </c>
    </row>
    <row r="37" customFormat="false" ht="15" hidden="false" customHeight="false" outlineLevel="0" collapsed="false">
      <c r="B37" s="11" t="n">
        <v>9</v>
      </c>
      <c r="C37" s="17" t="n">
        <v>1.45</v>
      </c>
    </row>
    <row r="38" customFormat="false" ht="15" hidden="false" customHeight="false" outlineLevel="0" collapsed="false">
      <c r="B38" s="11" t="n">
        <v>10</v>
      </c>
      <c r="C38" s="17" t="n">
        <v>1.49</v>
      </c>
    </row>
    <row r="40" customFormat="false" ht="19.5" hidden="false" customHeight="true" outlineLevel="0" collapsed="false">
      <c r="B40" s="5" t="s">
        <v>35</v>
      </c>
      <c r="C40" s="5"/>
      <c r="D40" s="5"/>
      <c r="E40" s="5"/>
    </row>
    <row r="41" customFormat="false" ht="46.5" hidden="false" customHeight="true" outlineLevel="0" collapsed="false">
      <c r="B41" s="6" t="s">
        <v>36</v>
      </c>
      <c r="C41" s="6"/>
      <c r="D41" s="6"/>
      <c r="E41" s="6"/>
    </row>
    <row r="42" customFormat="false" ht="31.5" hidden="false" customHeight="true" outlineLevel="0" collapsed="false">
      <c r="B42" s="6" t="s">
        <v>37</v>
      </c>
      <c r="C42" s="6"/>
      <c r="D42" s="6"/>
      <c r="E42" s="6"/>
    </row>
    <row r="43" customFormat="false" ht="31.5" hidden="false" customHeight="true" outlineLevel="0" collapsed="false">
      <c r="B43" s="6" t="s">
        <v>38</v>
      </c>
      <c r="C43" s="6"/>
      <c r="D43" s="6"/>
      <c r="E43" s="6"/>
    </row>
    <row r="44" customFormat="false" ht="31.5" hidden="false" customHeight="true" outlineLevel="0" collapsed="false">
      <c r="B44" s="6" t="s">
        <v>39</v>
      </c>
      <c r="C44" s="6"/>
      <c r="D44" s="6"/>
      <c r="E44" s="6"/>
    </row>
    <row r="45" customFormat="false" ht="31.5" hidden="false" customHeight="true" outlineLevel="0" collapsed="false">
      <c r="B45" s="6" t="s">
        <v>40</v>
      </c>
      <c r="C45" s="6"/>
      <c r="D45" s="6"/>
      <c r="E45" s="6"/>
    </row>
    <row r="46" customFormat="false" ht="31.5" hidden="false" customHeight="true" outlineLevel="0" collapsed="false">
      <c r="B46" s="6" t="s">
        <v>41</v>
      </c>
      <c r="C46" s="6"/>
      <c r="D46" s="6"/>
      <c r="E46" s="6"/>
    </row>
    <row r="48" customFormat="false" ht="15" hidden="false" customHeight="false" outlineLevel="0" collapsed="false">
      <c r="B48" s="8" t="s">
        <v>42</v>
      </c>
      <c r="C48" s="8"/>
      <c r="D48" s="8" t="s">
        <v>43</v>
      </c>
      <c r="E48" s="8"/>
    </row>
    <row r="49" customFormat="false" ht="19.5" hidden="false" customHeight="true" outlineLevel="0" collapsed="false">
      <c r="B49" s="18" t="s">
        <v>44</v>
      </c>
      <c r="C49" s="18"/>
      <c r="D49" s="9" t="s">
        <v>45</v>
      </c>
      <c r="E49" s="9"/>
    </row>
    <row r="50" customFormat="false" ht="19.5" hidden="false" customHeight="true" outlineLevel="0" collapsed="false">
      <c r="B50" s="18" t="s">
        <v>46</v>
      </c>
      <c r="C50" s="18"/>
      <c r="D50" s="9" t="s">
        <v>47</v>
      </c>
      <c r="E50" s="9"/>
    </row>
    <row r="51" customFormat="false" ht="19.5" hidden="false" customHeight="true" outlineLevel="0" collapsed="false">
      <c r="B51" s="18" t="s">
        <v>48</v>
      </c>
      <c r="C51" s="18"/>
      <c r="D51" s="9" t="s">
        <v>49</v>
      </c>
      <c r="E51" s="9"/>
    </row>
    <row r="52" customFormat="false" ht="19.5" hidden="false" customHeight="true" outlineLevel="0" collapsed="false">
      <c r="B52" s="18" t="s">
        <v>50</v>
      </c>
      <c r="C52" s="18"/>
      <c r="D52" s="9" t="s">
        <v>51</v>
      </c>
      <c r="E52" s="9"/>
    </row>
    <row r="53" customFormat="false" ht="19.5" hidden="false" customHeight="true" outlineLevel="0" collapsed="false">
      <c r="B53" s="18" t="s">
        <v>52</v>
      </c>
      <c r="C53" s="18"/>
      <c r="D53" s="9" t="s">
        <v>53</v>
      </c>
      <c r="E53" s="9"/>
    </row>
    <row r="54" customFormat="false" ht="19.5" hidden="false" customHeight="true" outlineLevel="0" collapsed="false">
      <c r="B54" s="18" t="s">
        <v>54</v>
      </c>
      <c r="C54" s="18"/>
      <c r="D54" s="9" t="s">
        <v>55</v>
      </c>
      <c r="E54" s="9"/>
    </row>
    <row r="56" customFormat="false" ht="19.5" hidden="false" customHeight="true" outlineLevel="0" collapsed="false">
      <c r="B56" s="5" t="s">
        <v>56</v>
      </c>
      <c r="C56" s="5"/>
      <c r="D56" s="5"/>
      <c r="E56" s="5"/>
    </row>
    <row r="57" customFormat="false" ht="18" hidden="false" customHeight="true" outlineLevel="0" collapsed="false">
      <c r="B57" s="19" t="s">
        <v>57</v>
      </c>
      <c r="C57" s="9" t="s">
        <v>58</v>
      </c>
      <c r="D57" s="9"/>
      <c r="E57" s="9"/>
    </row>
    <row r="58" customFormat="false" ht="18" hidden="false" customHeight="true" outlineLevel="0" collapsed="false">
      <c r="B58" s="19" t="s">
        <v>59</v>
      </c>
      <c r="C58" s="9" t="s">
        <v>60</v>
      </c>
      <c r="D58" s="9"/>
      <c r="E58" s="9"/>
    </row>
    <row r="59" customFormat="false" ht="18" hidden="false" customHeight="true" outlineLevel="0" collapsed="false">
      <c r="B59" s="19" t="s">
        <v>61</v>
      </c>
      <c r="C59" s="9" t="s">
        <v>62</v>
      </c>
      <c r="D59" s="9"/>
      <c r="E59" s="9"/>
    </row>
    <row r="60" customFormat="false" ht="18" hidden="false" customHeight="true" outlineLevel="0" collapsed="false">
      <c r="B60" s="19" t="s">
        <v>63</v>
      </c>
      <c r="C60" s="9" t="s">
        <v>64</v>
      </c>
      <c r="D60" s="9"/>
      <c r="E60" s="9"/>
    </row>
    <row r="61" customFormat="false" ht="18" hidden="false" customHeight="true" outlineLevel="0" collapsed="false">
      <c r="B61" s="19" t="s">
        <v>65</v>
      </c>
      <c r="C61" s="9" t="s">
        <v>66</v>
      </c>
      <c r="D61" s="9"/>
      <c r="E61" s="9"/>
    </row>
    <row r="62" customFormat="false" ht="18" hidden="false" customHeight="true" outlineLevel="0" collapsed="false">
      <c r="B62" s="19" t="s">
        <v>67</v>
      </c>
      <c r="C62" s="9" t="s">
        <v>68</v>
      </c>
      <c r="D62" s="9"/>
      <c r="E62" s="9"/>
    </row>
    <row r="63" customFormat="false" ht="18" hidden="false" customHeight="true" outlineLevel="0" collapsed="false">
      <c r="B63" s="19" t="s">
        <v>69</v>
      </c>
      <c r="C63" s="9" t="s">
        <v>70</v>
      </c>
      <c r="D63" s="9"/>
      <c r="E63" s="9"/>
    </row>
    <row r="64" customFormat="false" ht="30.75" hidden="false" customHeight="true" outlineLevel="0" collapsed="false">
      <c r="B64" s="19" t="s">
        <v>71</v>
      </c>
      <c r="C64" s="9" t="s">
        <v>72</v>
      </c>
      <c r="D64" s="9"/>
      <c r="E64" s="9"/>
    </row>
    <row r="66" customFormat="false" ht="19.5" hidden="false" customHeight="true" outlineLevel="0" collapsed="false">
      <c r="B66" s="5" t="s">
        <v>73</v>
      </c>
      <c r="C66" s="5"/>
      <c r="D66" s="5"/>
      <c r="E66" s="5"/>
    </row>
    <row r="67" customFormat="false" ht="15" hidden="false" customHeight="false" outlineLevel="0" collapsed="false">
      <c r="B67" s="20" t="n">
        <v>1</v>
      </c>
      <c r="C67" s="21" t="s">
        <v>74</v>
      </c>
      <c r="D67" s="21"/>
      <c r="E67" s="21"/>
    </row>
    <row r="68" customFormat="false" ht="15" hidden="false" customHeight="false" outlineLevel="0" collapsed="false">
      <c r="B68" s="12" t="s">
        <v>75</v>
      </c>
      <c r="C68" s="21" t="s">
        <v>76</v>
      </c>
      <c r="D68" s="21"/>
      <c r="E68" s="21"/>
    </row>
    <row r="69" customFormat="false" ht="15" hidden="false" customHeight="false" outlineLevel="0" collapsed="false">
      <c r="B69" s="22" t="s">
        <v>77</v>
      </c>
      <c r="C69" s="21" t="s">
        <v>78</v>
      </c>
      <c r="D69" s="21"/>
      <c r="E69" s="21"/>
    </row>
    <row r="70" customFormat="false" ht="15" hidden="false" customHeight="false" outlineLevel="0" collapsed="false">
      <c r="B70" s="23" t="s">
        <v>77</v>
      </c>
      <c r="C70" s="21" t="s">
        <v>79</v>
      </c>
      <c r="D70" s="21"/>
      <c r="E70" s="21"/>
    </row>
  </sheetData>
  <sheetProtection sheet="true" formatColumns="false" formatRows="false"/>
  <mergeCells count="51">
    <mergeCell ref="B4:E4"/>
    <mergeCell ref="B6:E6"/>
    <mergeCell ref="B7:E7"/>
    <mergeCell ref="B9:E9"/>
    <mergeCell ref="B10:E10"/>
    <mergeCell ref="B11:E11"/>
    <mergeCell ref="B12:E12"/>
    <mergeCell ref="B13:E13"/>
    <mergeCell ref="B15:E15"/>
    <mergeCell ref="D16:E16"/>
    <mergeCell ref="D17:E17"/>
    <mergeCell ref="D18:E18"/>
    <mergeCell ref="D19:E19"/>
    <mergeCell ref="B21:E21"/>
    <mergeCell ref="B25:E25"/>
    <mergeCell ref="D26:E26"/>
    <mergeCell ref="B40:E40"/>
    <mergeCell ref="B41:E41"/>
    <mergeCell ref="B42:E42"/>
    <mergeCell ref="B43:E43"/>
    <mergeCell ref="B44:E44"/>
    <mergeCell ref="B45:E45"/>
    <mergeCell ref="B46:E46"/>
    <mergeCell ref="B48:C48"/>
    <mergeCell ref="D48:E48"/>
    <mergeCell ref="B49:C49"/>
    <mergeCell ref="D49:E49"/>
    <mergeCell ref="B50:C50"/>
    <mergeCell ref="D50:E50"/>
    <mergeCell ref="B51:C51"/>
    <mergeCell ref="D51:E51"/>
    <mergeCell ref="B52:C52"/>
    <mergeCell ref="D52:E52"/>
    <mergeCell ref="B53:C53"/>
    <mergeCell ref="D53:E53"/>
    <mergeCell ref="B54:C54"/>
    <mergeCell ref="D54:E54"/>
    <mergeCell ref="B56:E56"/>
    <mergeCell ref="C57:E57"/>
    <mergeCell ref="C58:E58"/>
    <mergeCell ref="C59:E59"/>
    <mergeCell ref="C60:E60"/>
    <mergeCell ref="C61:E61"/>
    <mergeCell ref="C62:E62"/>
    <mergeCell ref="C63:E63"/>
    <mergeCell ref="C64:E64"/>
    <mergeCell ref="B66:E66"/>
    <mergeCell ref="C67:E67"/>
    <mergeCell ref="C68:E68"/>
    <mergeCell ref="C69:E69"/>
    <mergeCell ref="C70:E7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7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6" ySplit="8" topLeftCell="G9" activePane="bottomRight" state="frozen"/>
      <selection pane="topLeft" activeCell="A1" activeCellId="0" sqref="A1"/>
      <selection pane="topRight" activeCell="G1" activeCellId="0" sqref="G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8"/>
    <col collapsed="false" customWidth="true" hidden="false" outlineLevel="0" max="4" min="4" style="0" width="40"/>
    <col collapsed="false" customWidth="true" hidden="false" outlineLevel="0" max="5" min="5" style="0" width="8"/>
    <col collapsed="false" customWidth="true" hidden="false" outlineLevel="0" max="6" min="6" style="0" width="40"/>
    <col collapsed="false" customWidth="true" hidden="false" outlineLevel="0" max="13" min="7" style="0" width="8.5"/>
    <col collapsed="false" customWidth="true" hidden="false" outlineLevel="0" max="14" min="14" style="0" width="11"/>
  </cols>
  <sheetData>
    <row r="1" customFormat="false" ht="25.5" hidden="false" customHeight="true" outlineLevel="0" collapsed="false">
      <c r="A1" s="1" t="s">
        <v>80</v>
      </c>
      <c r="B1" s="2"/>
      <c r="C1" s="2"/>
      <c r="D1" s="2"/>
      <c r="E1" s="2"/>
      <c r="F1" s="2"/>
      <c r="G1" s="2"/>
      <c r="H1" s="2"/>
      <c r="I1" s="2"/>
      <c r="J1" s="2"/>
      <c r="K1" s="2"/>
      <c r="L1" s="2"/>
      <c r="M1" s="2"/>
      <c r="N1" s="2"/>
    </row>
    <row r="2" customFormat="false" ht="31.5" hidden="false" customHeight="true" outlineLevel="0" collapsed="false">
      <c r="A2" s="6" t="s">
        <v>81</v>
      </c>
      <c r="B2" s="6"/>
      <c r="C2" s="6"/>
      <c r="D2" s="6"/>
      <c r="E2" s="6"/>
      <c r="F2" s="6"/>
      <c r="G2" s="6"/>
      <c r="H2" s="6"/>
      <c r="I2" s="6"/>
      <c r="J2" s="6"/>
      <c r="K2" s="6"/>
      <c r="L2" s="6"/>
      <c r="M2" s="6"/>
      <c r="N2" s="6"/>
    </row>
    <row r="4" customFormat="false" ht="15" hidden="false" customHeight="false" outlineLevel="0" collapsed="false">
      <c r="A4" s="24"/>
      <c r="B4" s="24"/>
      <c r="C4" s="24"/>
      <c r="D4" s="25" t="s">
        <v>82</v>
      </c>
      <c r="E4" s="24"/>
      <c r="F4" s="24"/>
      <c r="G4" s="26" t="n">
        <f aca="false">COUNT(G9:G78)</f>
        <v>70</v>
      </c>
      <c r="H4" s="26" t="n">
        <f aca="false">COUNT(H9:H78)</f>
        <v>70</v>
      </c>
      <c r="I4" s="26" t="n">
        <f aca="false">COUNT(I9:I78)</f>
        <v>70</v>
      </c>
      <c r="J4" s="26" t="n">
        <f aca="false">COUNT(J9:J78)</f>
        <v>70</v>
      </c>
      <c r="K4" s="26" t="n">
        <f aca="false">COUNT(K9:K78)</f>
        <v>70</v>
      </c>
      <c r="L4" s="26" t="n">
        <f aca="false">COUNT(L9:L78)</f>
        <v>70</v>
      </c>
      <c r="M4" s="26" t="n">
        <f aca="false">COUNT(M9:M78)</f>
        <v>70</v>
      </c>
      <c r="N4" s="24"/>
    </row>
    <row r="5" customFormat="false" ht="15" hidden="false" customHeight="false" outlineLevel="0" collapsed="false">
      <c r="A5" s="24"/>
      <c r="B5" s="24"/>
      <c r="C5" s="24"/>
      <c r="D5" s="25" t="s">
        <v>83</v>
      </c>
      <c r="E5" s="24"/>
      <c r="F5" s="24"/>
      <c r="G5" s="12" t="str">
        <f aca="false">IF(G4=0,"—",IF(G4=70,"کامل","ناقص"))</f>
        <v>کامل</v>
      </c>
      <c r="H5" s="12" t="str">
        <f aca="false">IF(H4=0,"—",IF(H4=70,"کامل","ناقص"))</f>
        <v>کامل</v>
      </c>
      <c r="I5" s="12" t="str">
        <f aca="false">IF(I4=0,"—",IF(I4=70,"کامل","ناقص"))</f>
        <v>کامل</v>
      </c>
      <c r="J5" s="12" t="str">
        <f aca="false">IF(J4=0,"—",IF(J4=70,"کامل","ناقص"))</f>
        <v>کامل</v>
      </c>
      <c r="K5" s="12" t="str">
        <f aca="false">IF(K4=0,"—",IF(K4=70,"کامل","ناقص"))</f>
        <v>کامل</v>
      </c>
      <c r="L5" s="12" t="str">
        <f aca="false">IF(L4=0,"—",IF(L4=70,"کامل","ناقص"))</f>
        <v>کامل</v>
      </c>
      <c r="M5" s="12" t="str">
        <f aca="false">IF(M4=0,"—",IF(M4=70,"کامل","ناقص"))</f>
        <v>کامل</v>
      </c>
      <c r="N5" s="24"/>
    </row>
    <row r="8" customFormat="false" ht="30" hidden="false" customHeight="true" outlineLevel="0" collapsed="false">
      <c r="A8" s="27" t="s">
        <v>84</v>
      </c>
      <c r="B8" s="27" t="s">
        <v>85</v>
      </c>
      <c r="C8" s="27" t="s">
        <v>86</v>
      </c>
      <c r="D8" s="27" t="s">
        <v>87</v>
      </c>
      <c r="E8" s="27" t="s">
        <v>88</v>
      </c>
      <c r="F8" s="27" t="s">
        <v>89</v>
      </c>
      <c r="G8" s="27" t="s">
        <v>90</v>
      </c>
      <c r="H8" s="27" t="s">
        <v>28</v>
      </c>
      <c r="I8" s="27" t="s">
        <v>91</v>
      </c>
      <c r="J8" s="27" t="s">
        <v>92</v>
      </c>
      <c r="K8" s="27" t="s">
        <v>93</v>
      </c>
      <c r="L8" s="27" t="s">
        <v>94</v>
      </c>
      <c r="M8" s="27" t="s">
        <v>95</v>
      </c>
      <c r="N8" s="27" t="s">
        <v>96</v>
      </c>
    </row>
    <row r="9" customFormat="false" ht="27" hidden="false" customHeight="true" outlineLevel="0" collapsed="false">
      <c r="A9" s="11" t="n">
        <v>1</v>
      </c>
      <c r="B9" s="12" t="s">
        <v>97</v>
      </c>
      <c r="C9" s="12" t="s">
        <v>98</v>
      </c>
      <c r="D9" s="9" t="s">
        <v>99</v>
      </c>
      <c r="E9" s="12" t="s">
        <v>100</v>
      </c>
      <c r="F9" s="9" t="s">
        <v>101</v>
      </c>
      <c r="G9" s="28" t="n">
        <v>2</v>
      </c>
      <c r="H9" s="28" t="n">
        <v>2</v>
      </c>
      <c r="I9" s="28" t="n">
        <v>3</v>
      </c>
      <c r="J9" s="28" t="n">
        <v>2</v>
      </c>
      <c r="K9" s="28" t="n">
        <v>1</v>
      </c>
      <c r="L9" s="28" t="n">
        <v>2</v>
      </c>
      <c r="M9" s="28" t="n">
        <v>2</v>
      </c>
      <c r="N9" s="29" t="n">
        <f aca="false">COUNT(G9:M9)</f>
        <v>7</v>
      </c>
    </row>
    <row r="10" customFormat="false" ht="27" hidden="false" customHeight="true" outlineLevel="0" collapsed="false">
      <c r="A10" s="11" t="n">
        <v>2</v>
      </c>
      <c r="B10" s="12" t="s">
        <v>97</v>
      </c>
      <c r="C10" s="12" t="s">
        <v>98</v>
      </c>
      <c r="D10" s="9" t="s">
        <v>99</v>
      </c>
      <c r="E10" s="12" t="s">
        <v>102</v>
      </c>
      <c r="F10" s="9" t="s">
        <v>103</v>
      </c>
      <c r="G10" s="28" t="n">
        <v>2</v>
      </c>
      <c r="H10" s="28" t="n">
        <v>2</v>
      </c>
      <c r="I10" s="28" t="n">
        <v>2</v>
      </c>
      <c r="J10" s="28" t="n">
        <v>2</v>
      </c>
      <c r="K10" s="28" t="n">
        <v>1</v>
      </c>
      <c r="L10" s="28" t="n">
        <v>1</v>
      </c>
      <c r="M10" s="28" t="n">
        <v>1</v>
      </c>
      <c r="N10" s="29" t="n">
        <f aca="false">COUNT(G10:M10)</f>
        <v>7</v>
      </c>
    </row>
    <row r="11" customFormat="false" ht="27" hidden="false" customHeight="true" outlineLevel="0" collapsed="false">
      <c r="A11" s="11" t="n">
        <v>3</v>
      </c>
      <c r="B11" s="12" t="s">
        <v>97</v>
      </c>
      <c r="C11" s="12" t="s">
        <v>98</v>
      </c>
      <c r="D11" s="9" t="s">
        <v>99</v>
      </c>
      <c r="E11" s="12" t="s">
        <v>104</v>
      </c>
      <c r="F11" s="9" t="s">
        <v>105</v>
      </c>
      <c r="G11" s="28" t="n">
        <v>2</v>
      </c>
      <c r="H11" s="28" t="n">
        <v>2</v>
      </c>
      <c r="I11" s="28" t="n">
        <v>2</v>
      </c>
      <c r="J11" s="28" t="n">
        <v>2</v>
      </c>
      <c r="K11" s="28" t="n">
        <v>1</v>
      </c>
      <c r="L11" s="28" t="n">
        <v>1</v>
      </c>
      <c r="M11" s="28" t="n">
        <v>1</v>
      </c>
      <c r="N11" s="29" t="n">
        <f aca="false">COUNT(G11:M11)</f>
        <v>7</v>
      </c>
    </row>
    <row r="12" customFormat="false" ht="27" hidden="false" customHeight="true" outlineLevel="0" collapsed="false">
      <c r="A12" s="11" t="n">
        <v>4</v>
      </c>
      <c r="B12" s="12" t="s">
        <v>97</v>
      </c>
      <c r="C12" s="12" t="s">
        <v>98</v>
      </c>
      <c r="D12" s="9" t="s">
        <v>99</v>
      </c>
      <c r="E12" s="12" t="s">
        <v>106</v>
      </c>
      <c r="F12" s="9" t="s">
        <v>107</v>
      </c>
      <c r="G12" s="28" t="n">
        <v>1</v>
      </c>
      <c r="H12" s="28" t="n">
        <v>2</v>
      </c>
      <c r="I12" s="28" t="n">
        <v>1</v>
      </c>
      <c r="J12" s="28" t="n">
        <v>1</v>
      </c>
      <c r="K12" s="28" t="n">
        <v>1</v>
      </c>
      <c r="L12" s="28" t="n">
        <v>1</v>
      </c>
      <c r="M12" s="28" t="n">
        <v>1</v>
      </c>
      <c r="N12" s="29" t="n">
        <f aca="false">COUNT(G12:M12)</f>
        <v>7</v>
      </c>
    </row>
    <row r="13" customFormat="false" ht="27" hidden="false" customHeight="true" outlineLevel="0" collapsed="false">
      <c r="A13" s="11" t="n">
        <v>5</v>
      </c>
      <c r="B13" s="12" t="s">
        <v>97</v>
      </c>
      <c r="C13" s="12" t="s">
        <v>98</v>
      </c>
      <c r="D13" s="9" t="s">
        <v>99</v>
      </c>
      <c r="E13" s="12" t="s">
        <v>108</v>
      </c>
      <c r="F13" s="9" t="s">
        <v>109</v>
      </c>
      <c r="G13" s="28" t="n">
        <v>1</v>
      </c>
      <c r="H13" s="28" t="n">
        <v>1</v>
      </c>
      <c r="I13" s="28" t="n">
        <v>1</v>
      </c>
      <c r="J13" s="28" t="n">
        <v>1</v>
      </c>
      <c r="K13" s="28" t="n">
        <v>1</v>
      </c>
      <c r="L13" s="28" t="n">
        <v>1</v>
      </c>
      <c r="M13" s="28" t="n">
        <v>1</v>
      </c>
      <c r="N13" s="29" t="n">
        <f aca="false">COUNT(G13:M13)</f>
        <v>7</v>
      </c>
    </row>
    <row r="14" customFormat="false" ht="27" hidden="false" customHeight="true" outlineLevel="0" collapsed="false">
      <c r="A14" s="11" t="n">
        <v>6</v>
      </c>
      <c r="B14" s="12" t="s">
        <v>97</v>
      </c>
      <c r="C14" s="12" t="s">
        <v>98</v>
      </c>
      <c r="D14" s="9" t="s">
        <v>99</v>
      </c>
      <c r="E14" s="12" t="s">
        <v>110</v>
      </c>
      <c r="F14" s="9" t="s">
        <v>111</v>
      </c>
      <c r="G14" s="28" t="n">
        <v>1</v>
      </c>
      <c r="H14" s="28" t="n">
        <v>1</v>
      </c>
      <c r="I14" s="28" t="n">
        <v>1</v>
      </c>
      <c r="J14" s="28" t="n">
        <v>1</v>
      </c>
      <c r="K14" s="28" t="n">
        <v>1</v>
      </c>
      <c r="L14" s="28" t="n">
        <v>1</v>
      </c>
      <c r="M14" s="28" t="n">
        <v>1</v>
      </c>
      <c r="N14" s="29" t="n">
        <f aca="false">COUNT(G14:M14)</f>
        <v>7</v>
      </c>
    </row>
    <row r="15" customFormat="false" ht="27" hidden="false" customHeight="true" outlineLevel="0" collapsed="false">
      <c r="A15" s="11" t="n">
        <v>7</v>
      </c>
      <c r="B15" s="12" t="s">
        <v>97</v>
      </c>
      <c r="C15" s="12" t="s">
        <v>98</v>
      </c>
      <c r="D15" s="9" t="s">
        <v>99</v>
      </c>
      <c r="E15" s="12" t="s">
        <v>112</v>
      </c>
      <c r="F15" s="9" t="s">
        <v>113</v>
      </c>
      <c r="G15" s="28" t="n">
        <v>1</v>
      </c>
      <c r="H15" s="28" t="n">
        <v>1</v>
      </c>
      <c r="I15" s="28" t="n">
        <v>2</v>
      </c>
      <c r="J15" s="28" t="n">
        <v>1</v>
      </c>
      <c r="K15" s="28" t="n">
        <v>1</v>
      </c>
      <c r="L15" s="28" t="n">
        <v>1</v>
      </c>
      <c r="M15" s="28" t="n">
        <v>1</v>
      </c>
      <c r="N15" s="29" t="n">
        <f aca="false">COUNT(G15:M15)</f>
        <v>7</v>
      </c>
    </row>
    <row r="16" customFormat="false" ht="27" hidden="false" customHeight="true" outlineLevel="0" collapsed="false">
      <c r="A16" s="11" t="n">
        <v>8</v>
      </c>
      <c r="B16" s="12" t="s">
        <v>97</v>
      </c>
      <c r="C16" s="12" t="s">
        <v>98</v>
      </c>
      <c r="D16" s="9" t="s">
        <v>99</v>
      </c>
      <c r="E16" s="12" t="s">
        <v>114</v>
      </c>
      <c r="F16" s="9" t="s">
        <v>115</v>
      </c>
      <c r="G16" s="28" t="n">
        <v>1</v>
      </c>
      <c r="H16" s="28" t="n">
        <v>1</v>
      </c>
      <c r="I16" s="28" t="n">
        <v>1</v>
      </c>
      <c r="J16" s="28" t="n">
        <v>1</v>
      </c>
      <c r="K16" s="28" t="n">
        <v>-2</v>
      </c>
      <c r="L16" s="28" t="n">
        <v>-2</v>
      </c>
      <c r="M16" s="28" t="n">
        <v>-2</v>
      </c>
      <c r="N16" s="29" t="n">
        <f aca="false">COUNT(G16:M16)</f>
        <v>7</v>
      </c>
    </row>
    <row r="17" customFormat="false" ht="27" hidden="false" customHeight="true" outlineLevel="0" collapsed="false">
      <c r="A17" s="11" t="n">
        <v>9</v>
      </c>
      <c r="B17" s="12" t="s">
        <v>97</v>
      </c>
      <c r="C17" s="12" t="s">
        <v>100</v>
      </c>
      <c r="D17" s="9" t="s">
        <v>101</v>
      </c>
      <c r="E17" s="12" t="s">
        <v>102</v>
      </c>
      <c r="F17" s="9" t="s">
        <v>103</v>
      </c>
      <c r="G17" s="28" t="n">
        <v>1</v>
      </c>
      <c r="H17" s="28" t="n">
        <v>1</v>
      </c>
      <c r="I17" s="28" t="n">
        <v>-2</v>
      </c>
      <c r="J17" s="28" t="n">
        <v>1</v>
      </c>
      <c r="K17" s="28" t="n">
        <v>1</v>
      </c>
      <c r="L17" s="28" t="n">
        <v>1</v>
      </c>
      <c r="M17" s="28" t="n">
        <v>1</v>
      </c>
      <c r="N17" s="29" t="n">
        <f aca="false">COUNT(G17:M17)</f>
        <v>7</v>
      </c>
    </row>
    <row r="18" customFormat="false" ht="27" hidden="false" customHeight="true" outlineLevel="0" collapsed="false">
      <c r="A18" s="11" t="n">
        <v>10</v>
      </c>
      <c r="B18" s="12" t="s">
        <v>97</v>
      </c>
      <c r="C18" s="12" t="s">
        <v>100</v>
      </c>
      <c r="D18" s="9" t="s">
        <v>101</v>
      </c>
      <c r="E18" s="12" t="s">
        <v>104</v>
      </c>
      <c r="F18" s="9" t="s">
        <v>105</v>
      </c>
      <c r="G18" s="28" t="n">
        <v>1</v>
      </c>
      <c r="H18" s="28" t="n">
        <v>1</v>
      </c>
      <c r="I18" s="28" t="n">
        <v>1</v>
      </c>
      <c r="J18" s="28" t="n">
        <v>1</v>
      </c>
      <c r="K18" s="28" t="n">
        <v>1</v>
      </c>
      <c r="L18" s="28" t="n">
        <v>-2</v>
      </c>
      <c r="M18" s="28" t="n">
        <v>1</v>
      </c>
      <c r="N18" s="29" t="n">
        <f aca="false">COUNT(G18:M18)</f>
        <v>7</v>
      </c>
    </row>
    <row r="19" customFormat="false" ht="27" hidden="false" customHeight="true" outlineLevel="0" collapsed="false">
      <c r="A19" s="11" t="n">
        <v>11</v>
      </c>
      <c r="B19" s="12" t="s">
        <v>97</v>
      </c>
      <c r="C19" s="12" t="s">
        <v>100</v>
      </c>
      <c r="D19" s="9" t="s">
        <v>101</v>
      </c>
      <c r="E19" s="12" t="s">
        <v>106</v>
      </c>
      <c r="F19" s="9" t="s">
        <v>107</v>
      </c>
      <c r="G19" s="28" t="n">
        <v>-2</v>
      </c>
      <c r="H19" s="28" t="n">
        <v>1</v>
      </c>
      <c r="I19" s="28" t="n">
        <v>-2</v>
      </c>
      <c r="J19" s="28" t="n">
        <v>-2</v>
      </c>
      <c r="K19" s="28" t="n">
        <v>-2</v>
      </c>
      <c r="L19" s="28" t="n">
        <v>-2</v>
      </c>
      <c r="M19" s="28" t="n">
        <v>-2</v>
      </c>
      <c r="N19" s="29" t="n">
        <f aca="false">COUNT(G19:M19)</f>
        <v>7</v>
      </c>
    </row>
    <row r="20" customFormat="false" ht="27" hidden="false" customHeight="true" outlineLevel="0" collapsed="false">
      <c r="A20" s="11" t="n">
        <v>12</v>
      </c>
      <c r="B20" s="12" t="s">
        <v>97</v>
      </c>
      <c r="C20" s="12" t="s">
        <v>100</v>
      </c>
      <c r="D20" s="9" t="s">
        <v>101</v>
      </c>
      <c r="E20" s="12" t="s">
        <v>108</v>
      </c>
      <c r="F20" s="9" t="s">
        <v>109</v>
      </c>
      <c r="G20" s="28" t="n">
        <v>-2</v>
      </c>
      <c r="H20" s="28" t="n">
        <v>-2</v>
      </c>
      <c r="I20" s="28" t="n">
        <v>-2</v>
      </c>
      <c r="J20" s="28" t="n">
        <v>-2</v>
      </c>
      <c r="K20" s="28" t="n">
        <v>-2</v>
      </c>
      <c r="L20" s="28" t="n">
        <v>-2</v>
      </c>
      <c r="M20" s="28" t="n">
        <v>-2</v>
      </c>
      <c r="N20" s="29" t="n">
        <f aca="false">COUNT(G20:M20)</f>
        <v>7</v>
      </c>
    </row>
    <row r="21" customFormat="false" ht="27" hidden="false" customHeight="true" outlineLevel="0" collapsed="false">
      <c r="A21" s="11" t="n">
        <v>13</v>
      </c>
      <c r="B21" s="12" t="s">
        <v>97</v>
      </c>
      <c r="C21" s="12" t="s">
        <v>100</v>
      </c>
      <c r="D21" s="9" t="s">
        <v>101</v>
      </c>
      <c r="E21" s="12" t="s">
        <v>110</v>
      </c>
      <c r="F21" s="9" t="s">
        <v>111</v>
      </c>
      <c r="G21" s="28" t="n">
        <v>-3</v>
      </c>
      <c r="H21" s="28" t="n">
        <v>-2</v>
      </c>
      <c r="I21" s="28" t="n">
        <v>-3</v>
      </c>
      <c r="J21" s="28" t="n">
        <v>-3</v>
      </c>
      <c r="K21" s="28" t="n">
        <v>1</v>
      </c>
      <c r="L21" s="28" t="n">
        <v>-2</v>
      </c>
      <c r="M21" s="28" t="n">
        <v>-2</v>
      </c>
      <c r="N21" s="29" t="n">
        <f aca="false">COUNT(G21:M21)</f>
        <v>7</v>
      </c>
    </row>
    <row r="22" customFormat="false" ht="27" hidden="false" customHeight="true" outlineLevel="0" collapsed="false">
      <c r="A22" s="11" t="n">
        <v>14</v>
      </c>
      <c r="B22" s="12" t="s">
        <v>97</v>
      </c>
      <c r="C22" s="12" t="s">
        <v>100</v>
      </c>
      <c r="D22" s="9" t="s">
        <v>101</v>
      </c>
      <c r="E22" s="12" t="s">
        <v>112</v>
      </c>
      <c r="F22" s="9" t="s">
        <v>113</v>
      </c>
      <c r="G22" s="28" t="n">
        <v>-2</v>
      </c>
      <c r="H22" s="28" t="n">
        <v>-2</v>
      </c>
      <c r="I22" s="28" t="n">
        <v>-2</v>
      </c>
      <c r="J22" s="28" t="n">
        <v>-2</v>
      </c>
      <c r="K22" s="28" t="n">
        <v>1</v>
      </c>
      <c r="L22" s="28" t="n">
        <v>-2</v>
      </c>
      <c r="M22" s="28" t="n">
        <v>-2</v>
      </c>
      <c r="N22" s="29" t="n">
        <f aca="false">COUNT(G22:M22)</f>
        <v>7</v>
      </c>
    </row>
    <row r="23" customFormat="false" ht="27" hidden="false" customHeight="true" outlineLevel="0" collapsed="false">
      <c r="A23" s="11" t="n">
        <v>15</v>
      </c>
      <c r="B23" s="12" t="s">
        <v>97</v>
      </c>
      <c r="C23" s="12" t="s">
        <v>100</v>
      </c>
      <c r="D23" s="9" t="s">
        <v>101</v>
      </c>
      <c r="E23" s="12" t="s">
        <v>114</v>
      </c>
      <c r="F23" s="9" t="s">
        <v>115</v>
      </c>
      <c r="G23" s="28" t="n">
        <v>-2</v>
      </c>
      <c r="H23" s="28" t="n">
        <v>-2</v>
      </c>
      <c r="I23" s="28" t="n">
        <v>-2</v>
      </c>
      <c r="J23" s="28" t="n">
        <v>-2</v>
      </c>
      <c r="K23" s="28" t="n">
        <v>-2</v>
      </c>
      <c r="L23" s="28" t="n">
        <v>-2</v>
      </c>
      <c r="M23" s="28" t="n">
        <v>-2</v>
      </c>
      <c r="N23" s="29" t="n">
        <f aca="false">COUNT(G23:M23)</f>
        <v>7</v>
      </c>
    </row>
    <row r="24" customFormat="false" ht="27" hidden="false" customHeight="true" outlineLevel="0" collapsed="false">
      <c r="A24" s="11" t="n">
        <v>16</v>
      </c>
      <c r="B24" s="12" t="s">
        <v>97</v>
      </c>
      <c r="C24" s="12" t="s">
        <v>102</v>
      </c>
      <c r="D24" s="9" t="s">
        <v>103</v>
      </c>
      <c r="E24" s="12" t="s">
        <v>104</v>
      </c>
      <c r="F24" s="9" t="s">
        <v>105</v>
      </c>
      <c r="G24" s="28" t="n">
        <v>1</v>
      </c>
      <c r="H24" s="28" t="n">
        <v>1</v>
      </c>
      <c r="I24" s="28" t="n">
        <v>1</v>
      </c>
      <c r="J24" s="28" t="n">
        <v>1</v>
      </c>
      <c r="K24" s="28" t="n">
        <v>1</v>
      </c>
      <c r="L24" s="28" t="n">
        <v>1</v>
      </c>
      <c r="M24" s="28" t="n">
        <v>1</v>
      </c>
      <c r="N24" s="29" t="n">
        <f aca="false">COUNT(G24:M24)</f>
        <v>7</v>
      </c>
    </row>
    <row r="25" customFormat="false" ht="27" hidden="false" customHeight="true" outlineLevel="0" collapsed="false">
      <c r="A25" s="11" t="n">
        <v>17</v>
      </c>
      <c r="B25" s="12" t="s">
        <v>97</v>
      </c>
      <c r="C25" s="12" t="s">
        <v>102</v>
      </c>
      <c r="D25" s="9" t="s">
        <v>103</v>
      </c>
      <c r="E25" s="12" t="s">
        <v>106</v>
      </c>
      <c r="F25" s="9" t="s">
        <v>107</v>
      </c>
      <c r="G25" s="28" t="n">
        <v>1</v>
      </c>
      <c r="H25" s="28" t="n">
        <v>1</v>
      </c>
      <c r="I25" s="28" t="n">
        <v>1</v>
      </c>
      <c r="J25" s="28" t="n">
        <v>1</v>
      </c>
      <c r="K25" s="28" t="n">
        <v>1</v>
      </c>
      <c r="L25" s="28" t="n">
        <v>1</v>
      </c>
      <c r="M25" s="28" t="n">
        <v>-2</v>
      </c>
      <c r="N25" s="29" t="n">
        <f aca="false">COUNT(G25:M25)</f>
        <v>7</v>
      </c>
    </row>
    <row r="26" customFormat="false" ht="27" hidden="false" customHeight="true" outlineLevel="0" collapsed="false">
      <c r="A26" s="11" t="n">
        <v>18</v>
      </c>
      <c r="B26" s="12" t="s">
        <v>97</v>
      </c>
      <c r="C26" s="12" t="s">
        <v>102</v>
      </c>
      <c r="D26" s="9" t="s">
        <v>103</v>
      </c>
      <c r="E26" s="12" t="s">
        <v>108</v>
      </c>
      <c r="F26" s="9" t="s">
        <v>109</v>
      </c>
      <c r="G26" s="28" t="n">
        <v>-2</v>
      </c>
      <c r="H26" s="28" t="n">
        <v>1</v>
      </c>
      <c r="I26" s="28" t="n">
        <v>1</v>
      </c>
      <c r="J26" s="28" t="n">
        <v>-2</v>
      </c>
      <c r="K26" s="28" t="n">
        <v>1</v>
      </c>
      <c r="L26" s="28" t="n">
        <v>-2</v>
      </c>
      <c r="M26" s="28" t="n">
        <v>-2</v>
      </c>
      <c r="N26" s="29" t="n">
        <f aca="false">COUNT(G26:M26)</f>
        <v>7</v>
      </c>
    </row>
    <row r="27" customFormat="false" ht="27" hidden="false" customHeight="true" outlineLevel="0" collapsed="false">
      <c r="A27" s="11" t="n">
        <v>19</v>
      </c>
      <c r="B27" s="12" t="s">
        <v>97</v>
      </c>
      <c r="C27" s="12" t="s">
        <v>102</v>
      </c>
      <c r="D27" s="9" t="s">
        <v>103</v>
      </c>
      <c r="E27" s="12" t="s">
        <v>110</v>
      </c>
      <c r="F27" s="9" t="s">
        <v>111</v>
      </c>
      <c r="G27" s="28" t="n">
        <v>-2</v>
      </c>
      <c r="H27" s="28" t="n">
        <v>-2</v>
      </c>
      <c r="I27" s="28" t="n">
        <v>-2</v>
      </c>
      <c r="J27" s="28" t="n">
        <v>-2</v>
      </c>
      <c r="K27" s="28" t="n">
        <v>1</v>
      </c>
      <c r="L27" s="28" t="n">
        <v>-2</v>
      </c>
      <c r="M27" s="28" t="n">
        <v>1</v>
      </c>
      <c r="N27" s="29" t="n">
        <f aca="false">COUNT(G27:M27)</f>
        <v>7</v>
      </c>
    </row>
    <row r="28" customFormat="false" ht="27" hidden="false" customHeight="true" outlineLevel="0" collapsed="false">
      <c r="A28" s="11" t="n">
        <v>20</v>
      </c>
      <c r="B28" s="12" t="s">
        <v>97</v>
      </c>
      <c r="C28" s="12" t="s">
        <v>102</v>
      </c>
      <c r="D28" s="9" t="s">
        <v>103</v>
      </c>
      <c r="E28" s="12" t="s">
        <v>112</v>
      </c>
      <c r="F28" s="9" t="s">
        <v>113</v>
      </c>
      <c r="G28" s="28" t="n">
        <v>-2</v>
      </c>
      <c r="H28" s="28" t="n">
        <v>1</v>
      </c>
      <c r="I28" s="28" t="n">
        <v>1</v>
      </c>
      <c r="J28" s="28" t="n">
        <v>-2</v>
      </c>
      <c r="K28" s="28" t="n">
        <v>1</v>
      </c>
      <c r="L28" s="28" t="n">
        <v>1</v>
      </c>
      <c r="M28" s="28" t="n">
        <v>-2</v>
      </c>
      <c r="N28" s="29" t="n">
        <f aca="false">COUNT(G28:M28)</f>
        <v>7</v>
      </c>
    </row>
    <row r="29" customFormat="false" ht="27" hidden="false" customHeight="true" outlineLevel="0" collapsed="false">
      <c r="A29" s="11" t="n">
        <v>21</v>
      </c>
      <c r="B29" s="12" t="s">
        <v>97</v>
      </c>
      <c r="C29" s="12" t="s">
        <v>102</v>
      </c>
      <c r="D29" s="9" t="s">
        <v>103</v>
      </c>
      <c r="E29" s="12" t="s">
        <v>114</v>
      </c>
      <c r="F29" s="9" t="s">
        <v>115</v>
      </c>
      <c r="G29" s="28" t="n">
        <v>-2</v>
      </c>
      <c r="H29" s="28" t="n">
        <v>-2</v>
      </c>
      <c r="I29" s="28" t="n">
        <v>-2</v>
      </c>
      <c r="J29" s="28" t="n">
        <v>-2</v>
      </c>
      <c r="K29" s="28" t="n">
        <v>-2</v>
      </c>
      <c r="L29" s="28" t="n">
        <v>-2</v>
      </c>
      <c r="M29" s="28" t="n">
        <v>-2</v>
      </c>
      <c r="N29" s="29" t="n">
        <f aca="false">COUNT(G29:M29)</f>
        <v>7</v>
      </c>
    </row>
    <row r="30" customFormat="false" ht="27" hidden="false" customHeight="true" outlineLevel="0" collapsed="false">
      <c r="A30" s="11" t="n">
        <v>22</v>
      </c>
      <c r="B30" s="12" t="s">
        <v>97</v>
      </c>
      <c r="C30" s="12" t="s">
        <v>104</v>
      </c>
      <c r="D30" s="9" t="s">
        <v>105</v>
      </c>
      <c r="E30" s="12" t="s">
        <v>106</v>
      </c>
      <c r="F30" s="9" t="s">
        <v>107</v>
      </c>
      <c r="G30" s="28" t="n">
        <v>1</v>
      </c>
      <c r="H30" s="28" t="n">
        <v>1</v>
      </c>
      <c r="I30" s="28" t="n">
        <v>-2</v>
      </c>
      <c r="J30" s="28" t="n">
        <v>1</v>
      </c>
      <c r="K30" s="28" t="n">
        <v>-2</v>
      </c>
      <c r="L30" s="28" t="n">
        <v>1</v>
      </c>
      <c r="M30" s="28" t="n">
        <v>-2</v>
      </c>
      <c r="N30" s="29" t="n">
        <f aca="false">COUNT(G30:M30)</f>
        <v>7</v>
      </c>
    </row>
    <row r="31" customFormat="false" ht="27" hidden="false" customHeight="true" outlineLevel="0" collapsed="false">
      <c r="A31" s="11" t="n">
        <v>23</v>
      </c>
      <c r="B31" s="12" t="s">
        <v>97</v>
      </c>
      <c r="C31" s="12" t="s">
        <v>104</v>
      </c>
      <c r="D31" s="9" t="s">
        <v>105</v>
      </c>
      <c r="E31" s="12" t="s">
        <v>108</v>
      </c>
      <c r="F31" s="9" t="s">
        <v>109</v>
      </c>
      <c r="G31" s="28" t="n">
        <v>-2</v>
      </c>
      <c r="H31" s="28" t="n">
        <v>-2</v>
      </c>
      <c r="I31" s="28" t="n">
        <v>-2</v>
      </c>
      <c r="J31" s="28" t="n">
        <v>-2</v>
      </c>
      <c r="K31" s="28" t="n">
        <v>-2</v>
      </c>
      <c r="L31" s="28" t="n">
        <v>1</v>
      </c>
      <c r="M31" s="28" t="n">
        <v>-2</v>
      </c>
      <c r="N31" s="29" t="n">
        <f aca="false">COUNT(G31:M31)</f>
        <v>7</v>
      </c>
    </row>
    <row r="32" customFormat="false" ht="27" hidden="false" customHeight="true" outlineLevel="0" collapsed="false">
      <c r="A32" s="11" t="n">
        <v>24</v>
      </c>
      <c r="B32" s="12" t="s">
        <v>97</v>
      </c>
      <c r="C32" s="12" t="s">
        <v>104</v>
      </c>
      <c r="D32" s="9" t="s">
        <v>105</v>
      </c>
      <c r="E32" s="12" t="s">
        <v>110</v>
      </c>
      <c r="F32" s="9" t="s">
        <v>111</v>
      </c>
      <c r="G32" s="28" t="n">
        <v>-2</v>
      </c>
      <c r="H32" s="28" t="n">
        <v>-2</v>
      </c>
      <c r="I32" s="28" t="n">
        <v>-2</v>
      </c>
      <c r="J32" s="28" t="n">
        <v>-2</v>
      </c>
      <c r="K32" s="28" t="n">
        <v>1</v>
      </c>
      <c r="L32" s="28" t="n">
        <v>1</v>
      </c>
      <c r="M32" s="28" t="n">
        <v>1</v>
      </c>
      <c r="N32" s="29" t="n">
        <f aca="false">COUNT(G32:M32)</f>
        <v>7</v>
      </c>
    </row>
    <row r="33" customFormat="false" ht="27" hidden="false" customHeight="true" outlineLevel="0" collapsed="false">
      <c r="A33" s="11" t="n">
        <v>25</v>
      </c>
      <c r="B33" s="12" t="s">
        <v>97</v>
      </c>
      <c r="C33" s="12" t="s">
        <v>104</v>
      </c>
      <c r="D33" s="9" t="s">
        <v>105</v>
      </c>
      <c r="E33" s="12" t="s">
        <v>112</v>
      </c>
      <c r="F33" s="9" t="s">
        <v>113</v>
      </c>
      <c r="G33" s="28" t="n">
        <v>-2</v>
      </c>
      <c r="H33" s="28" t="n">
        <v>-2</v>
      </c>
      <c r="I33" s="28" t="n">
        <v>1</v>
      </c>
      <c r="J33" s="28" t="n">
        <v>-2</v>
      </c>
      <c r="K33" s="28" t="n">
        <v>1</v>
      </c>
      <c r="L33" s="28" t="n">
        <v>1</v>
      </c>
      <c r="M33" s="28" t="n">
        <v>-2</v>
      </c>
      <c r="N33" s="29" t="n">
        <f aca="false">COUNT(G33:M33)</f>
        <v>7</v>
      </c>
    </row>
    <row r="34" customFormat="false" ht="27" hidden="false" customHeight="true" outlineLevel="0" collapsed="false">
      <c r="A34" s="11" t="n">
        <v>26</v>
      </c>
      <c r="B34" s="12" t="s">
        <v>97</v>
      </c>
      <c r="C34" s="12" t="s">
        <v>104</v>
      </c>
      <c r="D34" s="9" t="s">
        <v>105</v>
      </c>
      <c r="E34" s="12" t="s">
        <v>114</v>
      </c>
      <c r="F34" s="9" t="s">
        <v>115</v>
      </c>
      <c r="G34" s="28" t="n">
        <v>-2</v>
      </c>
      <c r="H34" s="28" t="n">
        <v>-2</v>
      </c>
      <c r="I34" s="28" t="n">
        <v>-2</v>
      </c>
      <c r="J34" s="28" t="n">
        <v>-2</v>
      </c>
      <c r="K34" s="28" t="n">
        <v>-2</v>
      </c>
      <c r="L34" s="28" t="n">
        <v>-2</v>
      </c>
      <c r="M34" s="28" t="n">
        <v>-2</v>
      </c>
      <c r="N34" s="29" t="n">
        <f aca="false">COUNT(G34:M34)</f>
        <v>7</v>
      </c>
    </row>
    <row r="35" customFormat="false" ht="27" hidden="false" customHeight="true" outlineLevel="0" collapsed="false">
      <c r="A35" s="11" t="n">
        <v>27</v>
      </c>
      <c r="B35" s="12" t="s">
        <v>97</v>
      </c>
      <c r="C35" s="12" t="s">
        <v>106</v>
      </c>
      <c r="D35" s="9" t="s">
        <v>107</v>
      </c>
      <c r="E35" s="12" t="s">
        <v>108</v>
      </c>
      <c r="F35" s="9" t="s">
        <v>109</v>
      </c>
      <c r="G35" s="28" t="n">
        <v>1</v>
      </c>
      <c r="H35" s="28" t="n">
        <v>1</v>
      </c>
      <c r="I35" s="28" t="n">
        <v>1</v>
      </c>
      <c r="J35" s="28" t="n">
        <v>1</v>
      </c>
      <c r="K35" s="28" t="n">
        <v>1</v>
      </c>
      <c r="L35" s="28" t="n">
        <v>1</v>
      </c>
      <c r="M35" s="28" t="n">
        <v>1</v>
      </c>
      <c r="N35" s="29" t="n">
        <f aca="false">COUNT(G35:M35)</f>
        <v>7</v>
      </c>
    </row>
    <row r="36" customFormat="false" ht="27" hidden="false" customHeight="true" outlineLevel="0" collapsed="false">
      <c r="A36" s="11" t="n">
        <v>28</v>
      </c>
      <c r="B36" s="12" t="s">
        <v>97</v>
      </c>
      <c r="C36" s="12" t="s">
        <v>106</v>
      </c>
      <c r="D36" s="9" t="s">
        <v>107</v>
      </c>
      <c r="E36" s="12" t="s">
        <v>110</v>
      </c>
      <c r="F36" s="9" t="s">
        <v>111</v>
      </c>
      <c r="G36" s="28" t="n">
        <v>-2</v>
      </c>
      <c r="H36" s="28" t="n">
        <v>-2</v>
      </c>
      <c r="I36" s="28" t="n">
        <v>1</v>
      </c>
      <c r="J36" s="28" t="n">
        <v>-2</v>
      </c>
      <c r="K36" s="28" t="n">
        <v>1</v>
      </c>
      <c r="L36" s="28" t="n">
        <v>1</v>
      </c>
      <c r="M36" s="28" t="n">
        <v>1</v>
      </c>
      <c r="N36" s="29" t="n">
        <f aca="false">COUNT(G36:M36)</f>
        <v>7</v>
      </c>
    </row>
    <row r="37" customFormat="false" ht="27" hidden="false" customHeight="true" outlineLevel="0" collapsed="false">
      <c r="A37" s="11" t="n">
        <v>29</v>
      </c>
      <c r="B37" s="12" t="s">
        <v>97</v>
      </c>
      <c r="C37" s="12" t="s">
        <v>106</v>
      </c>
      <c r="D37" s="9" t="s">
        <v>107</v>
      </c>
      <c r="E37" s="12" t="s">
        <v>112</v>
      </c>
      <c r="F37" s="9" t="s">
        <v>113</v>
      </c>
      <c r="G37" s="28" t="n">
        <v>1</v>
      </c>
      <c r="H37" s="28" t="n">
        <v>1</v>
      </c>
      <c r="I37" s="28" t="n">
        <v>1</v>
      </c>
      <c r="J37" s="28" t="n">
        <v>1</v>
      </c>
      <c r="K37" s="28" t="n">
        <v>1</v>
      </c>
      <c r="L37" s="28" t="n">
        <v>1</v>
      </c>
      <c r="M37" s="28" t="n">
        <v>1</v>
      </c>
      <c r="N37" s="29" t="n">
        <f aca="false">COUNT(G37:M37)</f>
        <v>7</v>
      </c>
    </row>
    <row r="38" customFormat="false" ht="27" hidden="false" customHeight="true" outlineLevel="0" collapsed="false">
      <c r="A38" s="11" t="n">
        <v>30</v>
      </c>
      <c r="B38" s="12" t="s">
        <v>97</v>
      </c>
      <c r="C38" s="12" t="s">
        <v>106</v>
      </c>
      <c r="D38" s="9" t="s">
        <v>107</v>
      </c>
      <c r="E38" s="12" t="s">
        <v>114</v>
      </c>
      <c r="F38" s="9" t="s">
        <v>115</v>
      </c>
      <c r="G38" s="28" t="n">
        <v>-2</v>
      </c>
      <c r="H38" s="28" t="n">
        <v>-2</v>
      </c>
      <c r="I38" s="28" t="n">
        <v>1</v>
      </c>
      <c r="J38" s="28" t="n">
        <v>-2</v>
      </c>
      <c r="K38" s="28" t="n">
        <v>1</v>
      </c>
      <c r="L38" s="28" t="n">
        <v>-2</v>
      </c>
      <c r="M38" s="28" t="n">
        <v>1</v>
      </c>
      <c r="N38" s="29" t="n">
        <f aca="false">COUNT(G38:M38)</f>
        <v>7</v>
      </c>
    </row>
    <row r="39" customFormat="false" ht="27" hidden="false" customHeight="true" outlineLevel="0" collapsed="false">
      <c r="A39" s="11" t="n">
        <v>31</v>
      </c>
      <c r="B39" s="12" t="s">
        <v>97</v>
      </c>
      <c r="C39" s="12" t="s">
        <v>108</v>
      </c>
      <c r="D39" s="9" t="s">
        <v>109</v>
      </c>
      <c r="E39" s="12" t="s">
        <v>110</v>
      </c>
      <c r="F39" s="9" t="s">
        <v>111</v>
      </c>
      <c r="G39" s="28" t="n">
        <v>1</v>
      </c>
      <c r="H39" s="28" t="n">
        <v>1</v>
      </c>
      <c r="I39" s="28" t="n">
        <v>1</v>
      </c>
      <c r="J39" s="28" t="n">
        <v>1</v>
      </c>
      <c r="K39" s="28" t="n">
        <v>1</v>
      </c>
      <c r="L39" s="28" t="n">
        <v>1</v>
      </c>
      <c r="M39" s="28" t="n">
        <v>1</v>
      </c>
      <c r="N39" s="29" t="n">
        <f aca="false">COUNT(G39:M39)</f>
        <v>7</v>
      </c>
    </row>
    <row r="40" customFormat="false" ht="27" hidden="false" customHeight="true" outlineLevel="0" collapsed="false">
      <c r="A40" s="11" t="n">
        <v>32</v>
      </c>
      <c r="B40" s="12" t="s">
        <v>97</v>
      </c>
      <c r="C40" s="12" t="s">
        <v>108</v>
      </c>
      <c r="D40" s="9" t="s">
        <v>109</v>
      </c>
      <c r="E40" s="12" t="s">
        <v>112</v>
      </c>
      <c r="F40" s="9" t="s">
        <v>113</v>
      </c>
      <c r="G40" s="28" t="n">
        <v>1</v>
      </c>
      <c r="H40" s="28" t="n">
        <v>1</v>
      </c>
      <c r="I40" s="28" t="n">
        <v>1</v>
      </c>
      <c r="J40" s="28" t="n">
        <v>1</v>
      </c>
      <c r="K40" s="28" t="n">
        <v>1</v>
      </c>
      <c r="L40" s="28" t="n">
        <v>1</v>
      </c>
      <c r="M40" s="28" t="n">
        <v>1</v>
      </c>
      <c r="N40" s="29" t="n">
        <f aca="false">COUNT(G40:M40)</f>
        <v>7</v>
      </c>
    </row>
    <row r="41" customFormat="false" ht="27" hidden="false" customHeight="true" outlineLevel="0" collapsed="false">
      <c r="A41" s="11" t="n">
        <v>33</v>
      </c>
      <c r="B41" s="12" t="s">
        <v>97</v>
      </c>
      <c r="C41" s="12" t="s">
        <v>108</v>
      </c>
      <c r="D41" s="9" t="s">
        <v>109</v>
      </c>
      <c r="E41" s="12" t="s">
        <v>114</v>
      </c>
      <c r="F41" s="9" t="s">
        <v>115</v>
      </c>
      <c r="G41" s="28" t="n">
        <v>1</v>
      </c>
      <c r="H41" s="28" t="n">
        <v>1</v>
      </c>
      <c r="I41" s="28" t="n">
        <v>1</v>
      </c>
      <c r="J41" s="28" t="n">
        <v>1</v>
      </c>
      <c r="K41" s="28" t="n">
        <v>1</v>
      </c>
      <c r="L41" s="28" t="n">
        <v>1</v>
      </c>
      <c r="M41" s="28" t="n">
        <v>1</v>
      </c>
      <c r="N41" s="29" t="n">
        <f aca="false">COUNT(G41:M41)</f>
        <v>7</v>
      </c>
    </row>
    <row r="42" customFormat="false" ht="27" hidden="false" customHeight="true" outlineLevel="0" collapsed="false">
      <c r="A42" s="11" t="n">
        <v>34</v>
      </c>
      <c r="B42" s="12" t="s">
        <v>97</v>
      </c>
      <c r="C42" s="12" t="s">
        <v>110</v>
      </c>
      <c r="D42" s="9" t="s">
        <v>111</v>
      </c>
      <c r="E42" s="12" t="s">
        <v>112</v>
      </c>
      <c r="F42" s="9" t="s">
        <v>113</v>
      </c>
      <c r="G42" s="28" t="n">
        <v>1</v>
      </c>
      <c r="H42" s="28" t="n">
        <v>1</v>
      </c>
      <c r="I42" s="28" t="n">
        <v>2</v>
      </c>
      <c r="J42" s="28" t="n">
        <v>1</v>
      </c>
      <c r="K42" s="28" t="n">
        <v>1</v>
      </c>
      <c r="L42" s="28" t="n">
        <v>1</v>
      </c>
      <c r="M42" s="28" t="n">
        <v>1</v>
      </c>
      <c r="N42" s="29" t="n">
        <f aca="false">COUNT(G42:M42)</f>
        <v>7</v>
      </c>
    </row>
    <row r="43" customFormat="false" ht="27" hidden="false" customHeight="true" outlineLevel="0" collapsed="false">
      <c r="A43" s="11" t="n">
        <v>35</v>
      </c>
      <c r="B43" s="12" t="s">
        <v>97</v>
      </c>
      <c r="C43" s="12" t="s">
        <v>110</v>
      </c>
      <c r="D43" s="9" t="s">
        <v>111</v>
      </c>
      <c r="E43" s="12" t="s">
        <v>114</v>
      </c>
      <c r="F43" s="9" t="s">
        <v>115</v>
      </c>
      <c r="G43" s="28" t="n">
        <v>1</v>
      </c>
      <c r="H43" s="28" t="n">
        <v>1</v>
      </c>
      <c r="I43" s="28" t="n">
        <v>1</v>
      </c>
      <c r="J43" s="28" t="n">
        <v>1</v>
      </c>
      <c r="K43" s="28" t="n">
        <v>-2</v>
      </c>
      <c r="L43" s="28" t="n">
        <v>1</v>
      </c>
      <c r="M43" s="28" t="n">
        <v>-2</v>
      </c>
      <c r="N43" s="29" t="n">
        <f aca="false">COUNT(G43:M43)</f>
        <v>7</v>
      </c>
    </row>
    <row r="44" customFormat="false" ht="27" hidden="false" customHeight="true" outlineLevel="0" collapsed="false">
      <c r="A44" s="11" t="n">
        <v>36</v>
      </c>
      <c r="B44" s="12" t="s">
        <v>97</v>
      </c>
      <c r="C44" s="12" t="s">
        <v>112</v>
      </c>
      <c r="D44" s="9" t="s">
        <v>113</v>
      </c>
      <c r="E44" s="12" t="s">
        <v>114</v>
      </c>
      <c r="F44" s="9" t="s">
        <v>115</v>
      </c>
      <c r="G44" s="28" t="n">
        <v>1</v>
      </c>
      <c r="H44" s="28" t="n">
        <v>1</v>
      </c>
      <c r="I44" s="28" t="n">
        <v>-2</v>
      </c>
      <c r="J44" s="28" t="n">
        <v>1</v>
      </c>
      <c r="K44" s="28" t="n">
        <v>-2</v>
      </c>
      <c r="L44" s="28" t="n">
        <v>-2</v>
      </c>
      <c r="M44" s="28" t="n">
        <v>1</v>
      </c>
      <c r="N44" s="29" t="n">
        <f aca="false">COUNT(G44:M44)</f>
        <v>7</v>
      </c>
    </row>
    <row r="45" customFormat="false" ht="27" hidden="false" customHeight="true" outlineLevel="0" collapsed="false">
      <c r="A45" s="11" t="n">
        <v>37</v>
      </c>
      <c r="B45" s="12" t="s">
        <v>116</v>
      </c>
      <c r="C45" s="12" t="s">
        <v>117</v>
      </c>
      <c r="D45" s="9" t="s">
        <v>118</v>
      </c>
      <c r="E45" s="12" t="s">
        <v>119</v>
      </c>
      <c r="F45" s="9" t="s">
        <v>120</v>
      </c>
      <c r="G45" s="28" t="n">
        <v>2</v>
      </c>
      <c r="H45" s="28" t="n">
        <v>1</v>
      </c>
      <c r="I45" s="28" t="n">
        <v>1</v>
      </c>
      <c r="J45" s="28" t="n">
        <v>-2</v>
      </c>
      <c r="K45" s="28" t="n">
        <v>1</v>
      </c>
      <c r="L45" s="28" t="n">
        <v>1</v>
      </c>
      <c r="M45" s="28" t="n">
        <v>1</v>
      </c>
      <c r="N45" s="29" t="n">
        <f aca="false">COUNT(G45:M45)</f>
        <v>7</v>
      </c>
    </row>
    <row r="46" customFormat="false" ht="27" hidden="false" customHeight="true" outlineLevel="0" collapsed="false">
      <c r="A46" s="11" t="n">
        <v>38</v>
      </c>
      <c r="B46" s="12" t="s">
        <v>116</v>
      </c>
      <c r="C46" s="12" t="s">
        <v>117</v>
      </c>
      <c r="D46" s="9" t="s">
        <v>118</v>
      </c>
      <c r="E46" s="12" t="s">
        <v>121</v>
      </c>
      <c r="F46" s="9" t="s">
        <v>122</v>
      </c>
      <c r="G46" s="28" t="n">
        <v>2</v>
      </c>
      <c r="H46" s="28" t="n">
        <v>2</v>
      </c>
      <c r="I46" s="28" t="n">
        <v>2</v>
      </c>
      <c r="J46" s="28" t="n">
        <v>1</v>
      </c>
      <c r="K46" s="28" t="n">
        <v>1</v>
      </c>
      <c r="L46" s="28" t="n">
        <v>1</v>
      </c>
      <c r="M46" s="28" t="n">
        <v>1</v>
      </c>
      <c r="N46" s="29" t="n">
        <f aca="false">COUNT(G46:M46)</f>
        <v>7</v>
      </c>
    </row>
    <row r="47" customFormat="false" ht="27" hidden="false" customHeight="true" outlineLevel="0" collapsed="false">
      <c r="A47" s="11" t="n">
        <v>39</v>
      </c>
      <c r="B47" s="12" t="s">
        <v>116</v>
      </c>
      <c r="C47" s="12" t="s">
        <v>119</v>
      </c>
      <c r="D47" s="9" t="s">
        <v>120</v>
      </c>
      <c r="E47" s="12" t="s">
        <v>121</v>
      </c>
      <c r="F47" s="9" t="s">
        <v>122</v>
      </c>
      <c r="G47" s="28" t="n">
        <v>1</v>
      </c>
      <c r="H47" s="28" t="n">
        <v>2</v>
      </c>
      <c r="I47" s="28" t="n">
        <v>2</v>
      </c>
      <c r="J47" s="28" t="n">
        <v>2</v>
      </c>
      <c r="K47" s="28" t="n">
        <v>1</v>
      </c>
      <c r="L47" s="28" t="n">
        <v>1</v>
      </c>
      <c r="M47" s="28" t="n">
        <v>1</v>
      </c>
      <c r="N47" s="29" t="n">
        <f aca="false">COUNT(G47:M47)</f>
        <v>7</v>
      </c>
    </row>
    <row r="48" customFormat="false" ht="27" hidden="false" customHeight="true" outlineLevel="0" collapsed="false">
      <c r="A48" s="11" t="n">
        <v>40</v>
      </c>
      <c r="B48" s="12" t="s">
        <v>116</v>
      </c>
      <c r="C48" s="12" t="s">
        <v>123</v>
      </c>
      <c r="D48" s="9" t="s">
        <v>124</v>
      </c>
      <c r="E48" s="12" t="s">
        <v>125</v>
      </c>
      <c r="F48" s="9" t="s">
        <v>126</v>
      </c>
      <c r="G48" s="28" t="n">
        <v>1</v>
      </c>
      <c r="H48" s="28" t="n">
        <v>1</v>
      </c>
      <c r="I48" s="28" t="n">
        <v>1</v>
      </c>
      <c r="J48" s="28" t="n">
        <v>1</v>
      </c>
      <c r="K48" s="28" t="n">
        <v>1</v>
      </c>
      <c r="L48" s="28" t="n">
        <v>1</v>
      </c>
      <c r="M48" s="28" t="n">
        <v>1</v>
      </c>
      <c r="N48" s="29" t="n">
        <f aca="false">COUNT(G48:M48)</f>
        <v>7</v>
      </c>
    </row>
    <row r="49" customFormat="false" ht="27" hidden="false" customHeight="true" outlineLevel="0" collapsed="false">
      <c r="A49" s="11" t="n">
        <v>41</v>
      </c>
      <c r="B49" s="12" t="s">
        <v>116</v>
      </c>
      <c r="C49" s="12" t="s">
        <v>123</v>
      </c>
      <c r="D49" s="9" t="s">
        <v>124</v>
      </c>
      <c r="E49" s="12" t="s">
        <v>127</v>
      </c>
      <c r="F49" s="9" t="s">
        <v>128</v>
      </c>
      <c r="G49" s="28" t="n">
        <v>2</v>
      </c>
      <c r="H49" s="28" t="n">
        <v>2</v>
      </c>
      <c r="I49" s="28" t="n">
        <v>2</v>
      </c>
      <c r="J49" s="28" t="n">
        <v>2</v>
      </c>
      <c r="K49" s="28" t="n">
        <v>1</v>
      </c>
      <c r="L49" s="28" t="n">
        <v>2</v>
      </c>
      <c r="M49" s="28" t="n">
        <v>2</v>
      </c>
      <c r="N49" s="29" t="n">
        <f aca="false">COUNT(G49:M49)</f>
        <v>7</v>
      </c>
    </row>
    <row r="50" customFormat="false" ht="27" hidden="false" customHeight="true" outlineLevel="0" collapsed="false">
      <c r="A50" s="11" t="n">
        <v>42</v>
      </c>
      <c r="B50" s="12" t="s">
        <v>116</v>
      </c>
      <c r="C50" s="12" t="s">
        <v>123</v>
      </c>
      <c r="D50" s="9" t="s">
        <v>124</v>
      </c>
      <c r="E50" s="12" t="s">
        <v>129</v>
      </c>
      <c r="F50" s="9" t="s">
        <v>130</v>
      </c>
      <c r="G50" s="28" t="n">
        <v>2</v>
      </c>
      <c r="H50" s="28" t="n">
        <v>1</v>
      </c>
      <c r="I50" s="28" t="n">
        <v>2</v>
      </c>
      <c r="J50" s="28" t="n">
        <v>2</v>
      </c>
      <c r="K50" s="28" t="n">
        <v>2</v>
      </c>
      <c r="L50" s="28" t="n">
        <v>2</v>
      </c>
      <c r="M50" s="28" t="n">
        <v>2</v>
      </c>
      <c r="N50" s="29" t="n">
        <f aca="false">COUNT(G50:M50)</f>
        <v>7</v>
      </c>
    </row>
    <row r="51" customFormat="false" ht="27" hidden="false" customHeight="true" outlineLevel="0" collapsed="false">
      <c r="A51" s="11" t="n">
        <v>43</v>
      </c>
      <c r="B51" s="12" t="s">
        <v>116</v>
      </c>
      <c r="C51" s="12" t="s">
        <v>125</v>
      </c>
      <c r="D51" s="9" t="s">
        <v>126</v>
      </c>
      <c r="E51" s="12" t="s">
        <v>127</v>
      </c>
      <c r="F51" s="9" t="s">
        <v>128</v>
      </c>
      <c r="G51" s="28" t="n">
        <v>2</v>
      </c>
      <c r="H51" s="28" t="n">
        <v>2</v>
      </c>
      <c r="I51" s="28" t="n">
        <v>2</v>
      </c>
      <c r="J51" s="28" t="n">
        <v>2</v>
      </c>
      <c r="K51" s="28" t="n">
        <v>1</v>
      </c>
      <c r="L51" s="28" t="n">
        <v>2</v>
      </c>
      <c r="M51" s="28" t="n">
        <v>2</v>
      </c>
      <c r="N51" s="29" t="n">
        <f aca="false">COUNT(G51:M51)</f>
        <v>7</v>
      </c>
    </row>
    <row r="52" customFormat="false" ht="27" hidden="false" customHeight="true" outlineLevel="0" collapsed="false">
      <c r="A52" s="11" t="n">
        <v>44</v>
      </c>
      <c r="B52" s="12" t="s">
        <v>116</v>
      </c>
      <c r="C52" s="12" t="s">
        <v>125</v>
      </c>
      <c r="D52" s="9" t="s">
        <v>126</v>
      </c>
      <c r="E52" s="12" t="s">
        <v>129</v>
      </c>
      <c r="F52" s="9" t="s">
        <v>130</v>
      </c>
      <c r="G52" s="28" t="n">
        <v>2</v>
      </c>
      <c r="H52" s="28" t="n">
        <v>1</v>
      </c>
      <c r="I52" s="28" t="n">
        <v>2</v>
      </c>
      <c r="J52" s="28" t="n">
        <v>2</v>
      </c>
      <c r="K52" s="28" t="n">
        <v>2</v>
      </c>
      <c r="L52" s="28" t="n">
        <v>2</v>
      </c>
      <c r="M52" s="28" t="n">
        <v>2</v>
      </c>
      <c r="N52" s="29" t="n">
        <f aca="false">COUNT(G52:M52)</f>
        <v>7</v>
      </c>
    </row>
    <row r="53" customFormat="false" ht="27" hidden="false" customHeight="true" outlineLevel="0" collapsed="false">
      <c r="A53" s="11" t="n">
        <v>45</v>
      </c>
      <c r="B53" s="12" t="s">
        <v>116</v>
      </c>
      <c r="C53" s="12" t="s">
        <v>127</v>
      </c>
      <c r="D53" s="9" t="s">
        <v>128</v>
      </c>
      <c r="E53" s="12" t="s">
        <v>129</v>
      </c>
      <c r="F53" s="9" t="s">
        <v>130</v>
      </c>
      <c r="G53" s="28" t="n">
        <v>1</v>
      </c>
      <c r="H53" s="28" t="n">
        <v>-2</v>
      </c>
      <c r="I53" s="28" t="n">
        <v>1</v>
      </c>
      <c r="J53" s="28" t="n">
        <v>1</v>
      </c>
      <c r="K53" s="28" t="n">
        <v>2</v>
      </c>
      <c r="L53" s="28" t="n">
        <v>1</v>
      </c>
      <c r="M53" s="28" t="n">
        <v>1</v>
      </c>
      <c r="N53" s="29" t="n">
        <f aca="false">COUNT(G53:M53)</f>
        <v>7</v>
      </c>
    </row>
    <row r="54" customFormat="false" ht="27" hidden="false" customHeight="true" outlineLevel="0" collapsed="false">
      <c r="A54" s="11" t="n">
        <v>46</v>
      </c>
      <c r="B54" s="12" t="s">
        <v>116</v>
      </c>
      <c r="C54" s="12" t="s">
        <v>131</v>
      </c>
      <c r="D54" s="9" t="s">
        <v>132</v>
      </c>
      <c r="E54" s="12" t="s">
        <v>133</v>
      </c>
      <c r="F54" s="9" t="s">
        <v>134</v>
      </c>
      <c r="G54" s="28" t="n">
        <v>1</v>
      </c>
      <c r="H54" s="28" t="n">
        <v>1</v>
      </c>
      <c r="I54" s="28" t="n">
        <v>1</v>
      </c>
      <c r="J54" s="28" t="n">
        <v>1</v>
      </c>
      <c r="K54" s="28" t="n">
        <v>1</v>
      </c>
      <c r="L54" s="28" t="n">
        <v>1</v>
      </c>
      <c r="M54" s="28" t="n">
        <v>1</v>
      </c>
      <c r="N54" s="29" t="n">
        <f aca="false">COUNT(G54:M54)</f>
        <v>7</v>
      </c>
    </row>
    <row r="55" customFormat="false" ht="27" hidden="false" customHeight="true" outlineLevel="0" collapsed="false">
      <c r="A55" s="11" t="n">
        <v>47</v>
      </c>
      <c r="B55" s="12" t="s">
        <v>116</v>
      </c>
      <c r="C55" s="12" t="s">
        <v>131</v>
      </c>
      <c r="D55" s="9" t="s">
        <v>132</v>
      </c>
      <c r="E55" s="12" t="s">
        <v>135</v>
      </c>
      <c r="F55" s="9" t="s">
        <v>136</v>
      </c>
      <c r="G55" s="28" t="n">
        <v>2</v>
      </c>
      <c r="H55" s="28" t="n">
        <v>1</v>
      </c>
      <c r="I55" s="28" t="n">
        <v>1</v>
      </c>
      <c r="J55" s="28" t="n">
        <v>2</v>
      </c>
      <c r="K55" s="28" t="n">
        <v>1</v>
      </c>
      <c r="L55" s="28" t="n">
        <v>2</v>
      </c>
      <c r="M55" s="28" t="n">
        <v>2</v>
      </c>
      <c r="N55" s="29" t="n">
        <f aca="false">COUNT(G55:M55)</f>
        <v>7</v>
      </c>
    </row>
    <row r="56" customFormat="false" ht="27" hidden="false" customHeight="true" outlineLevel="0" collapsed="false">
      <c r="A56" s="11" t="n">
        <v>48</v>
      </c>
      <c r="B56" s="12" t="s">
        <v>116</v>
      </c>
      <c r="C56" s="12" t="s">
        <v>133</v>
      </c>
      <c r="D56" s="9" t="s">
        <v>134</v>
      </c>
      <c r="E56" s="12" t="s">
        <v>135</v>
      </c>
      <c r="F56" s="9" t="s">
        <v>136</v>
      </c>
      <c r="G56" s="28" t="n">
        <v>2</v>
      </c>
      <c r="H56" s="28" t="n">
        <v>1</v>
      </c>
      <c r="I56" s="28" t="n">
        <v>1</v>
      </c>
      <c r="J56" s="28" t="n">
        <v>2</v>
      </c>
      <c r="K56" s="28" t="n">
        <v>1</v>
      </c>
      <c r="L56" s="28" t="n">
        <v>2</v>
      </c>
      <c r="M56" s="28" t="n">
        <v>2</v>
      </c>
      <c r="N56" s="29" t="n">
        <f aca="false">COUNT(G56:M56)</f>
        <v>7</v>
      </c>
    </row>
    <row r="57" customFormat="false" ht="27" hidden="false" customHeight="true" outlineLevel="0" collapsed="false">
      <c r="A57" s="11" t="n">
        <v>49</v>
      </c>
      <c r="B57" s="12" t="s">
        <v>116</v>
      </c>
      <c r="C57" s="12" t="s">
        <v>137</v>
      </c>
      <c r="D57" s="9" t="s">
        <v>138</v>
      </c>
      <c r="E57" s="12" t="s">
        <v>139</v>
      </c>
      <c r="F57" s="9" t="s">
        <v>140</v>
      </c>
      <c r="G57" s="28" t="n">
        <v>1</v>
      </c>
      <c r="H57" s="28" t="n">
        <v>1</v>
      </c>
      <c r="I57" s="28" t="n">
        <v>1</v>
      </c>
      <c r="J57" s="28" t="n">
        <v>1</v>
      </c>
      <c r="K57" s="28" t="n">
        <v>1</v>
      </c>
      <c r="L57" s="28" t="n">
        <v>1</v>
      </c>
      <c r="M57" s="28" t="n">
        <v>1</v>
      </c>
      <c r="N57" s="29" t="n">
        <f aca="false">COUNT(G57:M57)</f>
        <v>7</v>
      </c>
    </row>
    <row r="58" customFormat="false" ht="27" hidden="false" customHeight="true" outlineLevel="0" collapsed="false">
      <c r="A58" s="11" t="n">
        <v>50</v>
      </c>
      <c r="B58" s="12" t="s">
        <v>116</v>
      </c>
      <c r="C58" s="12" t="s">
        <v>137</v>
      </c>
      <c r="D58" s="9" t="s">
        <v>138</v>
      </c>
      <c r="E58" s="12" t="s">
        <v>141</v>
      </c>
      <c r="F58" s="9" t="s">
        <v>142</v>
      </c>
      <c r="G58" s="28" t="n">
        <v>2</v>
      </c>
      <c r="H58" s="28" t="n">
        <v>2</v>
      </c>
      <c r="I58" s="28" t="n">
        <v>2</v>
      </c>
      <c r="J58" s="28" t="n">
        <v>2</v>
      </c>
      <c r="K58" s="28" t="n">
        <v>2</v>
      </c>
      <c r="L58" s="28" t="n">
        <v>1</v>
      </c>
      <c r="M58" s="28" t="n">
        <v>2</v>
      </c>
      <c r="N58" s="29" t="n">
        <f aca="false">COUNT(G58:M58)</f>
        <v>7</v>
      </c>
    </row>
    <row r="59" customFormat="false" ht="27" hidden="false" customHeight="true" outlineLevel="0" collapsed="false">
      <c r="A59" s="11" t="n">
        <v>51</v>
      </c>
      <c r="B59" s="12" t="s">
        <v>116</v>
      </c>
      <c r="C59" s="12" t="s">
        <v>137</v>
      </c>
      <c r="D59" s="9" t="s">
        <v>138</v>
      </c>
      <c r="E59" s="12" t="s">
        <v>143</v>
      </c>
      <c r="F59" s="9" t="s">
        <v>144</v>
      </c>
      <c r="G59" s="28" t="n">
        <v>1</v>
      </c>
      <c r="H59" s="28" t="n">
        <v>1</v>
      </c>
      <c r="I59" s="28" t="n">
        <v>1</v>
      </c>
      <c r="J59" s="28" t="n">
        <v>1</v>
      </c>
      <c r="K59" s="28" t="n">
        <v>1</v>
      </c>
      <c r="L59" s="28" t="n">
        <v>1</v>
      </c>
      <c r="M59" s="28" t="n">
        <v>1</v>
      </c>
      <c r="N59" s="29" t="n">
        <f aca="false">COUNT(G59:M59)</f>
        <v>7</v>
      </c>
    </row>
    <row r="60" customFormat="false" ht="27" hidden="false" customHeight="true" outlineLevel="0" collapsed="false">
      <c r="A60" s="11" t="n">
        <v>52</v>
      </c>
      <c r="B60" s="12" t="s">
        <v>116</v>
      </c>
      <c r="C60" s="12" t="s">
        <v>139</v>
      </c>
      <c r="D60" s="9" t="s">
        <v>140</v>
      </c>
      <c r="E60" s="12" t="s">
        <v>141</v>
      </c>
      <c r="F60" s="9" t="s">
        <v>142</v>
      </c>
      <c r="G60" s="28" t="n">
        <v>2</v>
      </c>
      <c r="H60" s="28" t="n">
        <v>2</v>
      </c>
      <c r="I60" s="28" t="n">
        <v>2</v>
      </c>
      <c r="J60" s="28" t="n">
        <v>2</v>
      </c>
      <c r="K60" s="28" t="n">
        <v>2</v>
      </c>
      <c r="L60" s="28" t="n">
        <v>1</v>
      </c>
      <c r="M60" s="28" t="n">
        <v>2</v>
      </c>
      <c r="N60" s="29" t="n">
        <f aca="false">COUNT(G60:M60)</f>
        <v>7</v>
      </c>
    </row>
    <row r="61" customFormat="false" ht="27" hidden="false" customHeight="true" outlineLevel="0" collapsed="false">
      <c r="A61" s="11" t="n">
        <v>53</v>
      </c>
      <c r="B61" s="12" t="s">
        <v>116</v>
      </c>
      <c r="C61" s="12" t="s">
        <v>139</v>
      </c>
      <c r="D61" s="9" t="s">
        <v>140</v>
      </c>
      <c r="E61" s="12" t="s">
        <v>143</v>
      </c>
      <c r="F61" s="9" t="s">
        <v>144</v>
      </c>
      <c r="G61" s="28" t="n">
        <v>1</v>
      </c>
      <c r="H61" s="28" t="n">
        <v>1</v>
      </c>
      <c r="I61" s="28" t="n">
        <v>1</v>
      </c>
      <c r="J61" s="28" t="n">
        <v>1</v>
      </c>
      <c r="K61" s="28" t="n">
        <v>1</v>
      </c>
      <c r="L61" s="28" t="n">
        <v>1</v>
      </c>
      <c r="M61" s="28" t="n">
        <v>1</v>
      </c>
      <c r="N61" s="29" t="n">
        <f aca="false">COUNT(G61:M61)</f>
        <v>7</v>
      </c>
    </row>
    <row r="62" customFormat="false" ht="27" hidden="false" customHeight="true" outlineLevel="0" collapsed="false">
      <c r="A62" s="11" t="n">
        <v>54</v>
      </c>
      <c r="B62" s="12" t="s">
        <v>116</v>
      </c>
      <c r="C62" s="12" t="s">
        <v>141</v>
      </c>
      <c r="D62" s="9" t="s">
        <v>142</v>
      </c>
      <c r="E62" s="12" t="s">
        <v>143</v>
      </c>
      <c r="F62" s="9" t="s">
        <v>144</v>
      </c>
      <c r="G62" s="28" t="n">
        <v>-2</v>
      </c>
      <c r="H62" s="28" t="n">
        <v>-2</v>
      </c>
      <c r="I62" s="28" t="n">
        <v>-2</v>
      </c>
      <c r="J62" s="28" t="n">
        <v>-2</v>
      </c>
      <c r="K62" s="28" t="n">
        <v>-2</v>
      </c>
      <c r="L62" s="28" t="n">
        <v>1</v>
      </c>
      <c r="M62" s="28" t="n">
        <v>-2</v>
      </c>
      <c r="N62" s="29" t="n">
        <f aca="false">COUNT(G62:M62)</f>
        <v>7</v>
      </c>
    </row>
    <row r="63" customFormat="false" ht="27" hidden="false" customHeight="true" outlineLevel="0" collapsed="false">
      <c r="A63" s="11" t="n">
        <v>55</v>
      </c>
      <c r="B63" s="12" t="s">
        <v>116</v>
      </c>
      <c r="C63" s="12" t="s">
        <v>145</v>
      </c>
      <c r="D63" s="9" t="s">
        <v>146</v>
      </c>
      <c r="E63" s="12" t="s">
        <v>147</v>
      </c>
      <c r="F63" s="9" t="s">
        <v>148</v>
      </c>
      <c r="G63" s="28" t="n">
        <v>1</v>
      </c>
      <c r="H63" s="28" t="n">
        <v>1</v>
      </c>
      <c r="I63" s="28" t="n">
        <v>2</v>
      </c>
      <c r="J63" s="28" t="n">
        <v>1</v>
      </c>
      <c r="K63" s="28" t="n">
        <v>2</v>
      </c>
      <c r="L63" s="28" t="n">
        <v>1</v>
      </c>
      <c r="M63" s="28" t="n">
        <v>2</v>
      </c>
      <c r="N63" s="29" t="n">
        <f aca="false">COUNT(G63:M63)</f>
        <v>7</v>
      </c>
    </row>
    <row r="64" customFormat="false" ht="27" hidden="false" customHeight="true" outlineLevel="0" collapsed="false">
      <c r="A64" s="11" t="n">
        <v>56</v>
      </c>
      <c r="B64" s="12" t="s">
        <v>116</v>
      </c>
      <c r="C64" s="12" t="s">
        <v>145</v>
      </c>
      <c r="D64" s="9" t="s">
        <v>146</v>
      </c>
      <c r="E64" s="12" t="s">
        <v>149</v>
      </c>
      <c r="F64" s="9" t="s">
        <v>150</v>
      </c>
      <c r="G64" s="28" t="n">
        <v>1</v>
      </c>
      <c r="H64" s="28" t="n">
        <v>1</v>
      </c>
      <c r="I64" s="28" t="n">
        <v>2</v>
      </c>
      <c r="J64" s="28" t="n">
        <v>1</v>
      </c>
      <c r="K64" s="28" t="n">
        <v>2</v>
      </c>
      <c r="L64" s="28" t="n">
        <v>1</v>
      </c>
      <c r="M64" s="28" t="n">
        <v>2</v>
      </c>
      <c r="N64" s="29" t="n">
        <f aca="false">COUNT(G64:M64)</f>
        <v>7</v>
      </c>
    </row>
    <row r="65" customFormat="false" ht="27" hidden="false" customHeight="true" outlineLevel="0" collapsed="false">
      <c r="A65" s="11" t="n">
        <v>57</v>
      </c>
      <c r="B65" s="12" t="s">
        <v>116</v>
      </c>
      <c r="C65" s="12" t="s">
        <v>145</v>
      </c>
      <c r="D65" s="9" t="s">
        <v>146</v>
      </c>
      <c r="E65" s="12" t="s">
        <v>151</v>
      </c>
      <c r="F65" s="9" t="s">
        <v>152</v>
      </c>
      <c r="G65" s="28" t="n">
        <v>1</v>
      </c>
      <c r="H65" s="28" t="n">
        <v>1</v>
      </c>
      <c r="I65" s="28" t="n">
        <v>2</v>
      </c>
      <c r="J65" s="28" t="n">
        <v>1</v>
      </c>
      <c r="K65" s="28" t="n">
        <v>2</v>
      </c>
      <c r="L65" s="28" t="n">
        <v>1</v>
      </c>
      <c r="M65" s="28" t="n">
        <v>2</v>
      </c>
      <c r="N65" s="29" t="n">
        <f aca="false">COUNT(G65:M65)</f>
        <v>7</v>
      </c>
    </row>
    <row r="66" customFormat="false" ht="27" hidden="false" customHeight="true" outlineLevel="0" collapsed="false">
      <c r="A66" s="11" t="n">
        <v>58</v>
      </c>
      <c r="B66" s="12" t="s">
        <v>116</v>
      </c>
      <c r="C66" s="12" t="s">
        <v>147</v>
      </c>
      <c r="D66" s="9" t="s">
        <v>148</v>
      </c>
      <c r="E66" s="12" t="s">
        <v>149</v>
      </c>
      <c r="F66" s="9" t="s">
        <v>150</v>
      </c>
      <c r="G66" s="28" t="n">
        <v>1</v>
      </c>
      <c r="H66" s="28" t="n">
        <v>1</v>
      </c>
      <c r="I66" s="28" t="n">
        <v>1</v>
      </c>
      <c r="J66" s="28" t="n">
        <v>1</v>
      </c>
      <c r="K66" s="28" t="n">
        <v>1</v>
      </c>
      <c r="L66" s="28" t="n">
        <v>1</v>
      </c>
      <c r="M66" s="28" t="n">
        <v>1</v>
      </c>
      <c r="N66" s="29" t="n">
        <f aca="false">COUNT(G66:M66)</f>
        <v>7</v>
      </c>
    </row>
    <row r="67" customFormat="false" ht="27" hidden="false" customHeight="true" outlineLevel="0" collapsed="false">
      <c r="A67" s="11" t="n">
        <v>59</v>
      </c>
      <c r="B67" s="12" t="s">
        <v>116</v>
      </c>
      <c r="C67" s="12" t="s">
        <v>147</v>
      </c>
      <c r="D67" s="9" t="s">
        <v>148</v>
      </c>
      <c r="E67" s="12" t="s">
        <v>151</v>
      </c>
      <c r="F67" s="9" t="s">
        <v>152</v>
      </c>
      <c r="G67" s="28" t="n">
        <v>1</v>
      </c>
      <c r="H67" s="28" t="n">
        <v>1</v>
      </c>
      <c r="I67" s="28" t="n">
        <v>1</v>
      </c>
      <c r="J67" s="28" t="n">
        <v>1</v>
      </c>
      <c r="K67" s="28" t="n">
        <v>1</v>
      </c>
      <c r="L67" s="28" t="n">
        <v>1</v>
      </c>
      <c r="M67" s="28" t="n">
        <v>1</v>
      </c>
      <c r="N67" s="29" t="n">
        <f aca="false">COUNT(G67:M67)</f>
        <v>7</v>
      </c>
    </row>
    <row r="68" customFormat="false" ht="27" hidden="false" customHeight="true" outlineLevel="0" collapsed="false">
      <c r="A68" s="11" t="n">
        <v>60</v>
      </c>
      <c r="B68" s="12" t="s">
        <v>116</v>
      </c>
      <c r="C68" s="12" t="s">
        <v>149</v>
      </c>
      <c r="D68" s="9" t="s">
        <v>150</v>
      </c>
      <c r="E68" s="12" t="s">
        <v>151</v>
      </c>
      <c r="F68" s="9" t="s">
        <v>152</v>
      </c>
      <c r="G68" s="28" t="n">
        <v>1</v>
      </c>
      <c r="H68" s="28" t="n">
        <v>1</v>
      </c>
      <c r="I68" s="28" t="n">
        <v>1</v>
      </c>
      <c r="J68" s="28" t="n">
        <v>1</v>
      </c>
      <c r="K68" s="28" t="n">
        <v>1</v>
      </c>
      <c r="L68" s="28" t="n">
        <v>1</v>
      </c>
      <c r="M68" s="28" t="n">
        <v>1</v>
      </c>
      <c r="N68" s="29" t="n">
        <f aca="false">COUNT(G68:M68)</f>
        <v>7</v>
      </c>
    </row>
    <row r="69" customFormat="false" ht="27" hidden="false" customHeight="true" outlineLevel="0" collapsed="false">
      <c r="A69" s="11" t="n">
        <v>61</v>
      </c>
      <c r="B69" s="12" t="s">
        <v>116</v>
      </c>
      <c r="C69" s="12" t="s">
        <v>153</v>
      </c>
      <c r="D69" s="9" t="s">
        <v>154</v>
      </c>
      <c r="E69" s="12" t="s">
        <v>155</v>
      </c>
      <c r="F69" s="9" t="s">
        <v>156</v>
      </c>
      <c r="G69" s="28" t="n">
        <v>2</v>
      </c>
      <c r="H69" s="28" t="n">
        <v>2</v>
      </c>
      <c r="I69" s="28" t="n">
        <v>2</v>
      </c>
      <c r="J69" s="28" t="n">
        <v>2</v>
      </c>
      <c r="K69" s="28" t="n">
        <v>2</v>
      </c>
      <c r="L69" s="28" t="n">
        <v>2</v>
      </c>
      <c r="M69" s="28" t="n">
        <v>2</v>
      </c>
      <c r="N69" s="29" t="n">
        <f aca="false">COUNT(G69:M69)</f>
        <v>7</v>
      </c>
    </row>
    <row r="70" customFormat="false" ht="27" hidden="false" customHeight="true" outlineLevel="0" collapsed="false">
      <c r="A70" s="11" t="n">
        <v>62</v>
      </c>
      <c r="B70" s="12" t="s">
        <v>116</v>
      </c>
      <c r="C70" s="12" t="s">
        <v>153</v>
      </c>
      <c r="D70" s="9" t="s">
        <v>154</v>
      </c>
      <c r="E70" s="12" t="s">
        <v>157</v>
      </c>
      <c r="F70" s="9" t="s">
        <v>158</v>
      </c>
      <c r="G70" s="28" t="n">
        <v>2</v>
      </c>
      <c r="H70" s="28" t="n">
        <v>2</v>
      </c>
      <c r="I70" s="28" t="n">
        <v>2</v>
      </c>
      <c r="J70" s="28" t="n">
        <v>2</v>
      </c>
      <c r="K70" s="28" t="n">
        <v>2</v>
      </c>
      <c r="L70" s="28" t="n">
        <v>2</v>
      </c>
      <c r="M70" s="28" t="n">
        <v>2</v>
      </c>
      <c r="N70" s="29" t="n">
        <f aca="false">COUNT(G70:M70)</f>
        <v>7</v>
      </c>
    </row>
    <row r="71" customFormat="false" ht="27" hidden="false" customHeight="true" outlineLevel="0" collapsed="false">
      <c r="A71" s="11" t="n">
        <v>63</v>
      </c>
      <c r="B71" s="12" t="s">
        <v>116</v>
      </c>
      <c r="C71" s="12" t="s">
        <v>155</v>
      </c>
      <c r="D71" s="9" t="s">
        <v>156</v>
      </c>
      <c r="E71" s="12" t="s">
        <v>157</v>
      </c>
      <c r="F71" s="9" t="s">
        <v>158</v>
      </c>
      <c r="G71" s="28" t="n">
        <v>1</v>
      </c>
      <c r="H71" s="28" t="n">
        <v>1</v>
      </c>
      <c r="I71" s="28" t="n">
        <v>1</v>
      </c>
      <c r="J71" s="28" t="n">
        <v>1</v>
      </c>
      <c r="K71" s="28" t="n">
        <v>1</v>
      </c>
      <c r="L71" s="28" t="n">
        <v>1</v>
      </c>
      <c r="M71" s="28" t="n">
        <v>1</v>
      </c>
      <c r="N71" s="29" t="n">
        <f aca="false">COUNT(G71:M71)</f>
        <v>7</v>
      </c>
    </row>
    <row r="72" customFormat="false" ht="27" hidden="false" customHeight="true" outlineLevel="0" collapsed="false">
      <c r="A72" s="11" t="n">
        <v>64</v>
      </c>
      <c r="B72" s="12" t="s">
        <v>116</v>
      </c>
      <c r="C72" s="12" t="s">
        <v>159</v>
      </c>
      <c r="D72" s="9" t="s">
        <v>160</v>
      </c>
      <c r="E72" s="12" t="s">
        <v>161</v>
      </c>
      <c r="F72" s="9" t="s">
        <v>162</v>
      </c>
      <c r="G72" s="28" t="n">
        <v>1</v>
      </c>
      <c r="H72" s="28" t="n">
        <v>1</v>
      </c>
      <c r="I72" s="28" t="n">
        <v>1</v>
      </c>
      <c r="J72" s="28" t="n">
        <v>1</v>
      </c>
      <c r="K72" s="28" t="n">
        <v>1</v>
      </c>
      <c r="L72" s="28" t="n">
        <v>2</v>
      </c>
      <c r="M72" s="28" t="n">
        <v>1</v>
      </c>
      <c r="N72" s="29" t="n">
        <f aca="false">COUNT(G72:M72)</f>
        <v>7</v>
      </c>
    </row>
    <row r="73" customFormat="false" ht="27" hidden="false" customHeight="true" outlineLevel="0" collapsed="false">
      <c r="A73" s="11" t="n">
        <v>65</v>
      </c>
      <c r="B73" s="12" t="s">
        <v>116</v>
      </c>
      <c r="C73" s="12" t="s">
        <v>159</v>
      </c>
      <c r="D73" s="9" t="s">
        <v>160</v>
      </c>
      <c r="E73" s="12" t="s">
        <v>163</v>
      </c>
      <c r="F73" s="9" t="s">
        <v>164</v>
      </c>
      <c r="G73" s="28" t="n">
        <v>2</v>
      </c>
      <c r="H73" s="28" t="n">
        <v>2</v>
      </c>
      <c r="I73" s="28" t="n">
        <v>2</v>
      </c>
      <c r="J73" s="28" t="n">
        <v>2</v>
      </c>
      <c r="K73" s="28" t="n">
        <v>1</v>
      </c>
      <c r="L73" s="28" t="n">
        <v>2</v>
      </c>
      <c r="M73" s="28" t="n">
        <v>1</v>
      </c>
      <c r="N73" s="29" t="n">
        <f aca="false">COUNT(G73:M73)</f>
        <v>7</v>
      </c>
    </row>
    <row r="74" customFormat="false" ht="27" hidden="false" customHeight="true" outlineLevel="0" collapsed="false">
      <c r="A74" s="11" t="n">
        <v>66</v>
      </c>
      <c r="B74" s="12" t="s">
        <v>116</v>
      </c>
      <c r="C74" s="12" t="s">
        <v>161</v>
      </c>
      <c r="D74" s="9" t="s">
        <v>162</v>
      </c>
      <c r="E74" s="12" t="s">
        <v>163</v>
      </c>
      <c r="F74" s="9" t="s">
        <v>164</v>
      </c>
      <c r="G74" s="28" t="n">
        <v>2</v>
      </c>
      <c r="H74" s="28" t="n">
        <v>2</v>
      </c>
      <c r="I74" s="28" t="n">
        <v>2</v>
      </c>
      <c r="J74" s="28" t="n">
        <v>2</v>
      </c>
      <c r="K74" s="28" t="n">
        <v>1</v>
      </c>
      <c r="L74" s="28" t="n">
        <v>1</v>
      </c>
      <c r="M74" s="28" t="n">
        <v>1</v>
      </c>
      <c r="N74" s="29" t="n">
        <f aca="false">COUNT(G74:M74)</f>
        <v>7</v>
      </c>
    </row>
    <row r="75" customFormat="false" ht="27" hidden="false" customHeight="true" outlineLevel="0" collapsed="false">
      <c r="A75" s="11" t="n">
        <v>67</v>
      </c>
      <c r="B75" s="12" t="s">
        <v>116</v>
      </c>
      <c r="C75" s="12" t="s">
        <v>165</v>
      </c>
      <c r="D75" s="9" t="s">
        <v>166</v>
      </c>
      <c r="E75" s="12" t="s">
        <v>167</v>
      </c>
      <c r="F75" s="9" t="s">
        <v>168</v>
      </c>
      <c r="G75" s="28" t="n">
        <v>2</v>
      </c>
      <c r="H75" s="28" t="n">
        <v>2</v>
      </c>
      <c r="I75" s="28" t="n">
        <v>1</v>
      </c>
      <c r="J75" s="28" t="n">
        <v>2</v>
      </c>
      <c r="K75" s="28" t="n">
        <v>1</v>
      </c>
      <c r="L75" s="28" t="n">
        <v>1</v>
      </c>
      <c r="M75" s="28" t="n">
        <v>2</v>
      </c>
      <c r="N75" s="29" t="n">
        <f aca="false">COUNT(G75:M75)</f>
        <v>7</v>
      </c>
    </row>
    <row r="76" customFormat="false" ht="27" hidden="false" customHeight="true" outlineLevel="0" collapsed="false">
      <c r="A76" s="11" t="n">
        <v>68</v>
      </c>
      <c r="B76" s="12" t="s">
        <v>116</v>
      </c>
      <c r="C76" s="12" t="s">
        <v>165</v>
      </c>
      <c r="D76" s="9" t="s">
        <v>166</v>
      </c>
      <c r="E76" s="12" t="s">
        <v>169</v>
      </c>
      <c r="F76" s="9" t="s">
        <v>170</v>
      </c>
      <c r="G76" s="28" t="n">
        <v>2</v>
      </c>
      <c r="H76" s="28" t="n">
        <v>2</v>
      </c>
      <c r="I76" s="28" t="n">
        <v>1</v>
      </c>
      <c r="J76" s="28" t="n">
        <v>2</v>
      </c>
      <c r="K76" s="28" t="n">
        <v>1</v>
      </c>
      <c r="L76" s="28" t="n">
        <v>1</v>
      </c>
      <c r="M76" s="28" t="n">
        <v>2</v>
      </c>
      <c r="N76" s="29" t="n">
        <f aca="false">COUNT(G76:M76)</f>
        <v>7</v>
      </c>
    </row>
    <row r="77" customFormat="false" ht="27" hidden="false" customHeight="true" outlineLevel="0" collapsed="false">
      <c r="A77" s="11" t="n">
        <v>69</v>
      </c>
      <c r="B77" s="12" t="s">
        <v>116</v>
      </c>
      <c r="C77" s="12" t="s">
        <v>167</v>
      </c>
      <c r="D77" s="9" t="s">
        <v>168</v>
      </c>
      <c r="E77" s="12" t="s">
        <v>169</v>
      </c>
      <c r="F77" s="9" t="s">
        <v>170</v>
      </c>
      <c r="G77" s="28" t="n">
        <v>1</v>
      </c>
      <c r="H77" s="28" t="n">
        <v>1</v>
      </c>
      <c r="I77" s="28" t="n">
        <v>1</v>
      </c>
      <c r="J77" s="28" t="n">
        <v>1</v>
      </c>
      <c r="K77" s="28" t="n">
        <v>1</v>
      </c>
      <c r="L77" s="28" t="n">
        <v>1</v>
      </c>
      <c r="M77" s="28" t="n">
        <v>1</v>
      </c>
      <c r="N77" s="29" t="n">
        <f aca="false">COUNT(G77:M77)</f>
        <v>7</v>
      </c>
    </row>
    <row r="78" customFormat="false" ht="27" hidden="false" customHeight="true" outlineLevel="0" collapsed="false">
      <c r="A78" s="11" t="n">
        <v>70</v>
      </c>
      <c r="B78" s="12" t="s">
        <v>116</v>
      </c>
      <c r="C78" s="12" t="s">
        <v>171</v>
      </c>
      <c r="D78" s="9" t="s">
        <v>172</v>
      </c>
      <c r="E78" s="12" t="s">
        <v>173</v>
      </c>
      <c r="F78" s="9" t="s">
        <v>174</v>
      </c>
      <c r="G78" s="28" t="n">
        <v>2</v>
      </c>
      <c r="H78" s="28" t="n">
        <v>2</v>
      </c>
      <c r="I78" s="28" t="n">
        <v>2</v>
      </c>
      <c r="J78" s="28" t="n">
        <v>2</v>
      </c>
      <c r="K78" s="28" t="n">
        <v>2</v>
      </c>
      <c r="L78" s="28" t="n">
        <v>2</v>
      </c>
      <c r="M78" s="28" t="n">
        <v>2</v>
      </c>
      <c r="N78" s="29" t="n">
        <f aca="false">COUNT(G78:M78)</f>
        <v>7</v>
      </c>
    </row>
  </sheetData>
  <sheetProtection sheet="true" formatColumns="false" formatRows="false"/>
  <mergeCells count="1">
    <mergeCell ref="A2:N2"/>
  </mergeCells>
  <dataValidations count="1">
    <dataValidation allowBlank="true" error="فقط یکی از عددهای 2 تا 9 (الف مهم‌تر)، 1 (برابر) یا -2 تا -9 (ب مهم‌تر) مجاز است." errorStyle="stop" errorTitle="مقدار نامعتبر" operator="between" prompt="k (2 تا 9): الف مهم‌تر | 1: برابر | -k: ب مهم‌تر" promptTitle="کدگذاری پاسخ" showDropDown="false" showErrorMessage="true" showInputMessage="true" sqref="G9:M78" type="list">
      <formula1>"-9,-8,-7,-6,-5,-4,-3,-2,1,2,3,4,5,6,7,8,9"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9"/>
    <col collapsed="false" customWidth="true" hidden="false" outlineLevel="0" max="11" min="4" style="0" width="10"/>
  </cols>
  <sheetData>
    <row r="1" customFormat="false" ht="25.5" hidden="false" customHeight="true" outlineLevel="0" collapsed="false">
      <c r="A1" s="1" t="s">
        <v>175</v>
      </c>
      <c r="B1" s="2"/>
      <c r="C1" s="2"/>
      <c r="D1" s="2"/>
      <c r="E1" s="2"/>
      <c r="F1" s="2"/>
      <c r="G1" s="2"/>
      <c r="H1" s="2"/>
      <c r="I1" s="2"/>
      <c r="J1" s="2"/>
      <c r="K1" s="2"/>
    </row>
    <row r="2" customFormat="false" ht="31.5" hidden="false" customHeight="true" outlineLevel="0" collapsed="false">
      <c r="A2" s="6" t="s">
        <v>176</v>
      </c>
      <c r="B2" s="6"/>
      <c r="C2" s="6"/>
      <c r="D2" s="6"/>
      <c r="E2" s="6"/>
      <c r="F2" s="6"/>
      <c r="G2" s="6"/>
      <c r="H2" s="6"/>
      <c r="I2" s="6"/>
      <c r="J2" s="6"/>
      <c r="K2" s="6"/>
    </row>
    <row r="3" customFormat="false" ht="15" hidden="false" customHeight="false" outlineLevel="0" collapsed="false">
      <c r="B3" s="25" t="s">
        <v>177</v>
      </c>
      <c r="C3" s="30" t="n">
        <f aca="false">راهنما!$C$26</f>
        <v>0.1</v>
      </c>
    </row>
    <row r="5" customFormat="false" ht="30" hidden="false" customHeight="true" outlineLevel="0" collapsed="false">
      <c r="A5" s="27" t="s">
        <v>178</v>
      </c>
      <c r="B5" s="27" t="s">
        <v>179</v>
      </c>
      <c r="C5" s="27" t="s">
        <v>180</v>
      </c>
      <c r="D5" s="27" t="s">
        <v>90</v>
      </c>
      <c r="E5" s="27" t="s">
        <v>28</v>
      </c>
      <c r="F5" s="27" t="s">
        <v>91</v>
      </c>
      <c r="G5" s="27" t="s">
        <v>92</v>
      </c>
      <c r="H5" s="27" t="s">
        <v>93</v>
      </c>
      <c r="I5" s="27" t="s">
        <v>94</v>
      </c>
      <c r="J5" s="27" t="s">
        <v>95</v>
      </c>
      <c r="K5" s="27" t="s">
        <v>181</v>
      </c>
    </row>
    <row r="6" customFormat="false" ht="27" hidden="false" customHeight="true" outlineLevel="0" collapsed="false">
      <c r="A6" s="11" t="n">
        <v>1</v>
      </c>
      <c r="B6" s="9" t="s">
        <v>182</v>
      </c>
      <c r="C6" s="11" t="n">
        <v>9</v>
      </c>
      <c r="D6" s="31" t="n">
        <f aca="false">IF(خ۱!P13="ناقص","ناقص",خ۱!P12)</f>
        <v>0.00850638851402915</v>
      </c>
      <c r="E6" s="31" t="n">
        <f aca="false">IF(خ۲!P13="ناقص","ناقص",خ۲!P12)</f>
        <v>0.00983589510322023</v>
      </c>
      <c r="F6" s="31" t="n">
        <f aca="false">IF(خ۳!P13="ناقص","ناقص",خ۳!P12)</f>
        <v>0.0114910221363187</v>
      </c>
      <c r="G6" s="31" t="n">
        <f aca="false">IF(خ۴!P13="ناقص","ناقص",خ۴!P12)</f>
        <v>0.00850638851402915</v>
      </c>
      <c r="H6" s="31" t="n">
        <f aca="false">IF(خ۵!P13="ناقص","ناقص",خ۵!P12)</f>
        <v>0.0128256259772223</v>
      </c>
      <c r="I6" s="31" t="n">
        <f aca="false">IF(خ۶!P13="ناقص","ناقص",خ۶!P12)</f>
        <v>0.0126906857004541</v>
      </c>
      <c r="J6" s="31" t="n">
        <f aca="false">IF(خ۷!P13="ناقص","ناقص",خ۷!P12)</f>
        <v>0.0121227521206457</v>
      </c>
      <c r="K6" s="31" t="n">
        <f aca="false">IF(تجمیع!P13="ناقص","ناقص",تجمیع!P12)</f>
        <v>0.00229409530532769</v>
      </c>
    </row>
    <row r="7" customFormat="false" ht="27" hidden="false" customHeight="true" outlineLevel="0" collapsed="false">
      <c r="A7" s="11" t="n">
        <v>2</v>
      </c>
      <c r="B7" s="9" t="s">
        <v>183</v>
      </c>
      <c r="C7" s="11" t="n">
        <v>3</v>
      </c>
      <c r="D7" s="31" t="n">
        <f aca="false">IF(خ۱!P27="ناقص","ناقص",خ۱!P26)</f>
        <v>0</v>
      </c>
      <c r="E7" s="31" t="n">
        <f aca="false">IF(خ۲!P27="ناقص","ناقص",خ۲!P26)</f>
        <v>0</v>
      </c>
      <c r="F7" s="31" t="n">
        <f aca="false">IF(خ۳!P27="ناقص","ناقص",خ۳!P26)</f>
        <v>0</v>
      </c>
      <c r="G7" s="31" t="n">
        <f aca="false">IF(خ۴!P27="ناقص","ناقص",خ۴!P26)</f>
        <v>0</v>
      </c>
      <c r="H7" s="31" t="n">
        <f aca="false">IF(خ۵!P27="ناقص","ناقص",خ۵!P26)</f>
        <v>0</v>
      </c>
      <c r="I7" s="31" t="n">
        <f aca="false">IF(خ۶!P27="ناقص","ناقص",خ۶!P26)</f>
        <v>0</v>
      </c>
      <c r="J7" s="31" t="n">
        <f aca="false">IF(خ۷!P27="ناقص","ناقص",خ۷!P26)</f>
        <v>0</v>
      </c>
      <c r="K7" s="31" t="n">
        <f aca="false">IF(تجمیع!P27="ناقص","ناقص",تجمیع!P26)</f>
        <v>0</v>
      </c>
    </row>
    <row r="8" customFormat="false" ht="27" hidden="false" customHeight="true" outlineLevel="0" collapsed="false">
      <c r="A8" s="11" t="n">
        <v>3</v>
      </c>
      <c r="B8" s="9" t="s">
        <v>184</v>
      </c>
      <c r="C8" s="11" t="n">
        <v>4</v>
      </c>
      <c r="D8" s="31" t="n">
        <f aca="false">IF(خ۱!P39="ناقص","ناقص",خ۱!P38)</f>
        <v>0</v>
      </c>
      <c r="E8" s="31" t="n">
        <f aca="false">IF(خ۲!P39="ناقص","ناقص",خ۲!P38)</f>
        <v>0</v>
      </c>
      <c r="F8" s="31" t="n">
        <f aca="false">IF(خ۳!P39="ناقص","ناقص",خ۳!P38)</f>
        <v>0</v>
      </c>
      <c r="G8" s="31" t="n">
        <f aca="false">IF(خ۴!P39="ناقص","ناقص",خ۴!P38)</f>
        <v>0</v>
      </c>
      <c r="H8" s="31" t="n">
        <f aca="false">IF(خ۵!P39="ناقص","ناقص",خ۵!P38)</f>
        <v>0</v>
      </c>
      <c r="I8" s="31" t="n">
        <f aca="false">IF(خ۶!P39="ناقص","ناقص",خ۶!P38)</f>
        <v>0</v>
      </c>
      <c r="J8" s="31" t="n">
        <f aca="false">IF(خ۷!P39="ناقص","ناقص",خ۷!P38)</f>
        <v>0</v>
      </c>
      <c r="K8" s="31" t="n">
        <f aca="false">IF(تجمیع!P39="ناقص","ناقص",تجمیع!P38)</f>
        <v>0</v>
      </c>
    </row>
    <row r="9" customFormat="false" ht="27" hidden="false" customHeight="true" outlineLevel="0" collapsed="false">
      <c r="A9" s="11" t="n">
        <v>4</v>
      </c>
      <c r="B9" s="9" t="s">
        <v>185</v>
      </c>
      <c r="C9" s="11" t="n">
        <v>3</v>
      </c>
      <c r="D9" s="31" t="n">
        <f aca="false">IF(خ۱!P51="ناقص","ناقص",خ۱!P50)</f>
        <v>0</v>
      </c>
      <c r="E9" s="31" t="n">
        <f aca="false">IF(خ۲!P51="ناقص","ناقص",خ۲!P50)</f>
        <v>0</v>
      </c>
      <c r="F9" s="31" t="n">
        <f aca="false">IF(خ۳!P51="ناقص","ناقص",خ۳!P50)</f>
        <v>0</v>
      </c>
      <c r="G9" s="31" t="n">
        <f aca="false">IF(خ۴!P51="ناقص","ناقص",خ۴!P50)</f>
        <v>0</v>
      </c>
      <c r="H9" s="31" t="n">
        <f aca="false">IF(خ۵!P51="ناقص","ناقص",خ۵!P50)</f>
        <v>0</v>
      </c>
      <c r="I9" s="31" t="n">
        <f aca="false">IF(خ۶!P51="ناقص","ناقص",خ۶!P50)</f>
        <v>0</v>
      </c>
      <c r="J9" s="31" t="n">
        <f aca="false">IF(خ۷!P51="ناقص","ناقص",خ۷!P50)</f>
        <v>0</v>
      </c>
      <c r="K9" s="31" t="n">
        <f aca="false">IF(تجمیع!P51="ناقص","ناقص",تجمیع!P50)</f>
        <v>0</v>
      </c>
    </row>
    <row r="10" customFormat="false" ht="27" hidden="false" customHeight="true" outlineLevel="0" collapsed="false">
      <c r="A10" s="11" t="n">
        <v>5</v>
      </c>
      <c r="B10" s="9" t="s">
        <v>186</v>
      </c>
      <c r="C10" s="11" t="n">
        <v>4</v>
      </c>
      <c r="D10" s="31" t="n">
        <f aca="false">IF(خ۱!P63="ناقص","ناقص",خ۱!P62)</f>
        <v>0</v>
      </c>
      <c r="E10" s="31" t="n">
        <f aca="false">IF(خ۲!P63="ناقص","ناقص",خ۲!P62)</f>
        <v>0</v>
      </c>
      <c r="F10" s="31" t="n">
        <f aca="false">IF(خ۳!P63="ناقص","ناقص",خ۳!P62)</f>
        <v>0</v>
      </c>
      <c r="G10" s="31" t="n">
        <f aca="false">IF(خ۴!P63="ناقص","ناقص",خ۴!P62)</f>
        <v>0</v>
      </c>
      <c r="H10" s="31" t="n">
        <f aca="false">IF(خ۵!P63="ناقص","ناقص",خ۵!P62)</f>
        <v>0</v>
      </c>
      <c r="I10" s="31" t="n">
        <f aca="false">IF(خ۶!P63="ناقص","ناقص",خ۶!P62)</f>
        <v>0</v>
      </c>
      <c r="J10" s="31" t="n">
        <f aca="false">IF(خ۷!P63="ناقص","ناقص",خ۷!P62)</f>
        <v>0</v>
      </c>
      <c r="K10" s="31" t="n">
        <f aca="false">IF(تجمیع!P63="ناقص","ناقص",تجمیع!P62)</f>
        <v>0</v>
      </c>
    </row>
    <row r="11" customFormat="false" ht="27" hidden="false" customHeight="true" outlineLevel="0" collapsed="false">
      <c r="A11" s="11" t="n">
        <v>6</v>
      </c>
      <c r="B11" s="9" t="s">
        <v>187</v>
      </c>
      <c r="C11" s="11" t="n">
        <v>4</v>
      </c>
      <c r="D11" s="31" t="n">
        <f aca="false">IF(خ۱!P75="ناقص","ناقص",خ۱!P74)</f>
        <v>0</v>
      </c>
      <c r="E11" s="31" t="n">
        <f aca="false">IF(خ۲!P75="ناقص","ناقص",خ۲!P74)</f>
        <v>0</v>
      </c>
      <c r="F11" s="31" t="n">
        <f aca="false">IF(خ۳!P75="ناقص","ناقص",خ۳!P74)</f>
        <v>0</v>
      </c>
      <c r="G11" s="31" t="n">
        <f aca="false">IF(خ۴!P75="ناقص","ناقص",خ۴!P74)</f>
        <v>0</v>
      </c>
      <c r="H11" s="31" t="n">
        <f aca="false">IF(خ۵!P75="ناقص","ناقص",خ۵!P74)</f>
        <v>0</v>
      </c>
      <c r="I11" s="31" t="n">
        <f aca="false">IF(خ۶!P75="ناقص","ناقص",خ۶!P74)</f>
        <v>0</v>
      </c>
      <c r="J11" s="31" t="n">
        <f aca="false">IF(خ۷!P75="ناقص","ناقص",خ۷!P74)</f>
        <v>0</v>
      </c>
      <c r="K11" s="31" t="n">
        <f aca="false">IF(تجمیع!P75="ناقص","ناقص",تجمیع!P74)</f>
        <v>0</v>
      </c>
    </row>
    <row r="12" customFormat="false" ht="27" hidden="false" customHeight="true" outlineLevel="0" collapsed="false">
      <c r="A12" s="11" t="n">
        <v>7</v>
      </c>
      <c r="B12" s="9" t="s">
        <v>188</v>
      </c>
      <c r="C12" s="11" t="n">
        <v>3</v>
      </c>
      <c r="D12" s="31" t="n">
        <f aca="false">IF(خ۱!P87="ناقص","ناقص",خ۱!P86)</f>
        <v>0</v>
      </c>
      <c r="E12" s="31" t="n">
        <f aca="false">IF(خ۲!P87="ناقص","ناقص",خ۲!P86)</f>
        <v>0</v>
      </c>
      <c r="F12" s="31" t="n">
        <f aca="false">IF(خ۳!P87="ناقص","ناقص",خ۳!P86)</f>
        <v>0</v>
      </c>
      <c r="G12" s="31" t="n">
        <f aca="false">IF(خ۴!P87="ناقص","ناقص",خ۴!P86)</f>
        <v>0</v>
      </c>
      <c r="H12" s="31" t="n">
        <f aca="false">IF(خ۵!P87="ناقص","ناقص",خ۵!P86)</f>
        <v>0</v>
      </c>
      <c r="I12" s="31" t="n">
        <f aca="false">IF(خ۶!P87="ناقص","ناقص",خ۶!P86)</f>
        <v>0</v>
      </c>
      <c r="J12" s="31" t="n">
        <f aca="false">IF(خ۷!P87="ناقص","ناقص",خ۷!P86)</f>
        <v>0</v>
      </c>
      <c r="K12" s="31" t="n">
        <f aca="false">IF(تجمیع!P87="ناقص","ناقص",تجمیع!P86)</f>
        <v>0</v>
      </c>
    </row>
    <row r="13" customFormat="false" ht="27" hidden="false" customHeight="true" outlineLevel="0" collapsed="false">
      <c r="A13" s="11" t="n">
        <v>8</v>
      </c>
      <c r="B13" s="9" t="s">
        <v>189</v>
      </c>
      <c r="C13" s="11" t="n">
        <v>3</v>
      </c>
      <c r="D13" s="31" t="n">
        <f aca="false">IF(خ۱!P99="ناقص","ناقص",خ۱!P98)</f>
        <v>0</v>
      </c>
      <c r="E13" s="31" t="n">
        <f aca="false">IF(خ۲!P99="ناقص","ناقص",خ۲!P98)</f>
        <v>0</v>
      </c>
      <c r="F13" s="31" t="n">
        <f aca="false">IF(خ۳!P99="ناقص","ناقص",خ۳!P98)</f>
        <v>0</v>
      </c>
      <c r="G13" s="31" t="n">
        <f aca="false">IF(خ۴!P99="ناقص","ناقص",خ۴!P98)</f>
        <v>0</v>
      </c>
      <c r="H13" s="31" t="n">
        <f aca="false">IF(خ۵!P99="ناقص","ناقص",خ۵!P98)</f>
        <v>0</v>
      </c>
      <c r="I13" s="31" t="n">
        <f aca="false">IF(خ۶!P99="ناقص","ناقص",خ۶!P98)</f>
        <v>0</v>
      </c>
      <c r="J13" s="31" t="n">
        <f aca="false">IF(خ۷!P99="ناقص","ناقص",خ۷!P98)</f>
        <v>0</v>
      </c>
      <c r="K13" s="31" t="n">
        <f aca="false">IF(تجمیع!P99="ناقص","ناقص",تجمیع!P98)</f>
        <v>0</v>
      </c>
    </row>
    <row r="14" customFormat="false" ht="27" hidden="false" customHeight="true" outlineLevel="0" collapsed="false">
      <c r="A14" s="11" t="n">
        <v>9</v>
      </c>
      <c r="B14" s="9" t="s">
        <v>190</v>
      </c>
      <c r="C14" s="11" t="n">
        <v>3</v>
      </c>
      <c r="D14" s="31" t="n">
        <f aca="false">IF(خ۱!P111="ناقص","ناقص",خ۱!P110)</f>
        <v>0</v>
      </c>
      <c r="E14" s="31" t="n">
        <f aca="false">IF(خ۲!P111="ناقص","ناقص",خ۲!P110)</f>
        <v>0</v>
      </c>
      <c r="F14" s="31" t="n">
        <f aca="false">IF(خ۳!P111="ناقص","ناقص",خ۳!P110)</f>
        <v>0</v>
      </c>
      <c r="G14" s="31" t="n">
        <f aca="false">IF(خ۴!P111="ناقص","ناقص",خ۴!P110)</f>
        <v>0</v>
      </c>
      <c r="H14" s="31" t="n">
        <f aca="false">IF(خ۵!P111="ناقص","ناقص",خ۵!P110)</f>
        <v>0</v>
      </c>
      <c r="I14" s="31" t="n">
        <f aca="false">IF(خ۶!P111="ناقص","ناقص",خ۶!P110)</f>
        <v>0</v>
      </c>
      <c r="J14" s="31" t="n">
        <f aca="false">IF(خ۷!P111="ناقص","ناقص",خ۷!P110)</f>
        <v>0</v>
      </c>
      <c r="K14" s="31" t="n">
        <f aca="false">IF(تجمیع!P111="ناقص","ناقص",تجمیع!P110)</f>
        <v>0</v>
      </c>
    </row>
    <row r="15" customFormat="false" ht="27" hidden="false" customHeight="true" outlineLevel="0" collapsed="false">
      <c r="A15" s="11" t="n">
        <v>10</v>
      </c>
      <c r="B15" s="9" t="s">
        <v>191</v>
      </c>
      <c r="C15" s="11" t="n">
        <v>2</v>
      </c>
      <c r="D15" s="31" t="n">
        <f aca="false">IF(خ۱!P123="ناقص","ناقص",خ۱!P122)</f>
        <v>0</v>
      </c>
      <c r="E15" s="31" t="n">
        <f aca="false">IF(خ۲!P123="ناقص","ناقص",خ۲!P122)</f>
        <v>0</v>
      </c>
      <c r="F15" s="31" t="n">
        <f aca="false">IF(خ۳!P123="ناقص","ناقص",خ۳!P122)</f>
        <v>0</v>
      </c>
      <c r="G15" s="31" t="n">
        <f aca="false">IF(خ۴!P123="ناقص","ناقص",خ۴!P122)</f>
        <v>0</v>
      </c>
      <c r="H15" s="31" t="n">
        <f aca="false">IF(خ۵!P123="ناقص","ناقص",خ۵!P122)</f>
        <v>0</v>
      </c>
      <c r="I15" s="31" t="n">
        <f aca="false">IF(خ۶!P123="ناقص","ناقص",خ۶!P122)</f>
        <v>0</v>
      </c>
      <c r="J15" s="31" t="n">
        <f aca="false">IF(خ۷!P123="ناقص","ناقص",خ۷!P122)</f>
        <v>0</v>
      </c>
      <c r="K15" s="31" t="n">
        <f aca="false">IF(تجمیع!P123="ناقص","ناقص",تجمیع!P122)</f>
        <v>0</v>
      </c>
    </row>
    <row r="17" customFormat="false" ht="15" hidden="false" customHeight="false" outlineLevel="0" collapsed="false">
      <c r="A17" s="24"/>
      <c r="B17" s="25" t="s">
        <v>192</v>
      </c>
      <c r="C17" s="24"/>
      <c r="D17" s="26" t="n">
        <f aca="false">ورودی!G4</f>
        <v>70</v>
      </c>
      <c r="E17" s="26" t="n">
        <f aca="false">ورودی!H4</f>
        <v>70</v>
      </c>
      <c r="F17" s="26" t="n">
        <f aca="false">ورودی!I4</f>
        <v>70</v>
      </c>
      <c r="G17" s="26" t="n">
        <f aca="false">ورودی!J4</f>
        <v>70</v>
      </c>
      <c r="H17" s="26" t="n">
        <f aca="false">ورودی!K4</f>
        <v>70</v>
      </c>
      <c r="I17" s="26" t="n">
        <f aca="false">ورودی!L4</f>
        <v>70</v>
      </c>
      <c r="J17" s="26" t="n">
        <f aca="false">ورودی!M4</f>
        <v>70</v>
      </c>
      <c r="K17" s="26" t="n">
        <f aca="false">COUNT(نسبت!N9:N78)</f>
        <v>70</v>
      </c>
    </row>
    <row r="18" customFormat="false" ht="15" hidden="false" customHeight="false" outlineLevel="0" collapsed="false">
      <c r="A18" s="24"/>
      <c r="B18" s="25" t="s">
        <v>193</v>
      </c>
      <c r="C18" s="24"/>
      <c r="D18" s="29" t="n">
        <f aca="false">COUNTIF(D6:D15,"&gt;"&amp;$C$3)</f>
        <v>0</v>
      </c>
      <c r="E18" s="29" t="n">
        <f aca="false">COUNTIF(E6:E15,"&gt;"&amp;$C$3)</f>
        <v>0</v>
      </c>
      <c r="F18" s="29" t="n">
        <f aca="false">COUNTIF(F6:F15,"&gt;"&amp;$C$3)</f>
        <v>0</v>
      </c>
      <c r="G18" s="29" t="n">
        <f aca="false">COUNTIF(G6:G15,"&gt;"&amp;$C$3)</f>
        <v>0</v>
      </c>
      <c r="H18" s="29" t="n">
        <f aca="false">COUNTIF(H6:H15,"&gt;"&amp;$C$3)</f>
        <v>0</v>
      </c>
      <c r="I18" s="29" t="n">
        <f aca="false">COUNTIF(I6:I15,"&gt;"&amp;$C$3)</f>
        <v>0</v>
      </c>
      <c r="J18" s="29" t="n">
        <f aca="false">COUNTIF(J6:J15,"&gt;"&amp;$C$3)</f>
        <v>0</v>
      </c>
      <c r="K18" s="29" t="n">
        <f aca="false">COUNTIF(K6:K15,"&gt;"&amp;$C$3)</f>
        <v>0</v>
      </c>
    </row>
    <row r="19" customFormat="false" ht="15" hidden="false" customHeight="false" outlineLevel="0" collapsed="false">
      <c r="A19" s="24"/>
      <c r="B19" s="25" t="s">
        <v>194</v>
      </c>
      <c r="C19" s="24"/>
      <c r="D19" s="29" t="n">
        <f aca="false">COUNTIF(D6:D15,"ناقص")</f>
        <v>0</v>
      </c>
      <c r="E19" s="29" t="n">
        <f aca="false">COUNTIF(E6:E15,"ناقص")</f>
        <v>0</v>
      </c>
      <c r="F19" s="29" t="n">
        <f aca="false">COUNTIF(F6:F15,"ناقص")</f>
        <v>0</v>
      </c>
      <c r="G19" s="29" t="n">
        <f aca="false">COUNTIF(G6:G15,"ناقص")</f>
        <v>0</v>
      </c>
      <c r="H19" s="29" t="n">
        <f aca="false">COUNTIF(H6:H15,"ناقص")</f>
        <v>0</v>
      </c>
      <c r="I19" s="29" t="n">
        <f aca="false">COUNTIF(I6:I15,"ناقص")</f>
        <v>0</v>
      </c>
      <c r="J19" s="29" t="n">
        <f aca="false">COUNTIF(J6:J15,"ناقص")</f>
        <v>0</v>
      </c>
      <c r="K19" s="29" t="n">
        <f aca="false">COUNTIF(K6:K15,"ناقص")</f>
        <v>0</v>
      </c>
    </row>
    <row r="20" customFormat="false" ht="15" hidden="false" customHeight="false" outlineLevel="0" collapsed="false">
      <c r="A20" s="24"/>
      <c r="B20" s="25" t="s">
        <v>83</v>
      </c>
      <c r="C20" s="24"/>
      <c r="D20" s="19" t="str">
        <f aca="false">IF(D17=0,"—",IF(D19&gt;0,"ناقص",IF(D18&gt;0,"بازنگری","تأیید")))</f>
        <v>تأیید</v>
      </c>
      <c r="E20" s="19" t="str">
        <f aca="false">IF(E17=0,"—",IF(E19&gt;0,"ناقص",IF(E18&gt;0,"بازنگری","تأیید")))</f>
        <v>تأیید</v>
      </c>
      <c r="F20" s="19" t="str">
        <f aca="false">IF(F17=0,"—",IF(F19&gt;0,"ناقص",IF(F18&gt;0,"بازنگری","تأیید")))</f>
        <v>تأیید</v>
      </c>
      <c r="G20" s="19" t="str">
        <f aca="false">IF(G17=0,"—",IF(G19&gt;0,"ناقص",IF(G18&gt;0,"بازنگری","تأیید")))</f>
        <v>تأیید</v>
      </c>
      <c r="H20" s="19" t="str">
        <f aca="false">IF(H17=0,"—",IF(H19&gt;0,"ناقص",IF(H18&gt;0,"بازنگری","تأیید")))</f>
        <v>تأیید</v>
      </c>
      <c r="I20" s="19" t="str">
        <f aca="false">IF(I17=0,"—",IF(I19&gt;0,"ناقص",IF(I18&gt;0,"بازنگری","تأیید")))</f>
        <v>تأیید</v>
      </c>
      <c r="J20" s="19" t="str">
        <f aca="false">IF(J17=0,"—",IF(J19&gt;0,"ناقص",IF(J18&gt;0,"بازنگری","تأیید")))</f>
        <v>تأیید</v>
      </c>
      <c r="K20" s="19" t="str">
        <f aca="false">IF(K17=0,"—",IF(K19&gt;0,"ناقص",IF(K18&gt;0,"بازنگری","تأیید")))</f>
        <v>تأیید</v>
      </c>
    </row>
    <row r="22" customFormat="false" ht="46.5" hidden="false" customHeight="true" outlineLevel="0" collapsed="false">
      <c r="A22" s="6" t="s">
        <v>195</v>
      </c>
      <c r="B22" s="6"/>
      <c r="C22" s="6"/>
      <c r="D22" s="6"/>
      <c r="E22" s="6"/>
      <c r="F22" s="6"/>
      <c r="G22" s="6"/>
      <c r="H22" s="6"/>
      <c r="I22" s="6"/>
      <c r="J22" s="6"/>
      <c r="K22" s="6"/>
    </row>
  </sheetData>
  <sheetProtection sheet="true" formatColumns="false" formatRows="false"/>
  <mergeCells count="2">
    <mergeCell ref="A2:K2"/>
    <mergeCell ref="A22:K22"/>
  </mergeCells>
  <conditionalFormatting sqref="D6:K15">
    <cfRule type="expression" priority="2" aboveAverage="0" equalAverage="0" bottom="0" percent="0" rank="0" text="" dxfId="0">
      <formula>AND(ISNUMBER(D6),D6&gt;$C$3)</formula>
    </cfRule>
    <cfRule type="expression" priority="3" aboveAverage="0" equalAverage="0" bottom="0" percent="0" rank="0" text="" dxfId="1">
      <formula>AND(ISNUMBER(D6),D6&lt;=$C$3)</formula>
    </cfRule>
    <cfRule type="cellIs" priority="4" operator="equal" aboveAverage="0" equalAverage="0" bottom="0" percent="0" rank="0" text="" dxfId="2">
      <formula>"ناقص"</formula>
    </cfRule>
  </conditionalFormatting>
  <conditionalFormatting sqref="D20:K20">
    <cfRule type="cellIs" priority="5" operator="equal" aboveAverage="0" equalAverage="0" bottom="0" percent="0" rank="0" text="" dxfId="0">
      <formula>"بازنگری"</formula>
    </cfRule>
    <cfRule type="cellIs" priority="6" operator="equal" aboveAverage="0" equalAverage="0" bottom="0" percent="0" rank="0" text="" dxfId="1">
      <formula>"تأیید"</formula>
    </cfRule>
    <cfRule type="cellIs" priority="7" operator="equal" aboveAverage="0" equalAverage="0" bottom="0" percent="0" rank="0" text="" dxfId="2">
      <formula>"ناقص"</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4"/>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6" min="6" style="0" width="14"/>
    <col collapsed="false" customWidth="true" hidden="false" outlineLevel="0" max="7" min="7" style="0" width="10"/>
    <col collapsed="false" customWidth="true" hidden="false" outlineLevel="0" max="8" min="8" style="0" width="14"/>
    <col collapsed="false" customWidth="true" hidden="false" outlineLevel="0" max="10" min="9" style="0" width="12"/>
    <col collapsed="false" customWidth="true" hidden="false" outlineLevel="0" max="12" min="11" style="0" width="11"/>
  </cols>
  <sheetData>
    <row r="1" customFormat="false" ht="25.5" hidden="false" customHeight="true" outlineLevel="0" collapsed="false">
      <c r="A1" s="1" t="s">
        <v>196</v>
      </c>
      <c r="B1" s="2"/>
      <c r="C1" s="2"/>
      <c r="D1" s="2"/>
      <c r="E1" s="2"/>
      <c r="F1" s="2"/>
      <c r="G1" s="2"/>
      <c r="H1" s="2"/>
      <c r="I1" s="2"/>
      <c r="J1" s="2"/>
      <c r="K1" s="2"/>
      <c r="L1" s="2"/>
    </row>
    <row r="3" customFormat="false" ht="15" hidden="false" customHeight="false" outlineLevel="0" collapsed="false">
      <c r="A3" s="32" t="str">
        <f aca="false">"وضعیت داده‌ها: "&amp;IF(سازگاری!K17=0,"هنوز مقایسه‌ای ثبت نشده است.",IF(COUNTIF(ورودی!G5:M5,"کامل")&lt;7,"نتایج موقت است: فقط "&amp;COUNTIF(ورودی!G5:M5,"کامل")&amp;" خبره از 7 خبره پاسخ کامل داده‌اند.","پاسخ هر 7 خبره کامل است."))</f>
        <v>وضعیت داده‌ها: پاسخ هر 7 خبره کامل است.</v>
      </c>
      <c r="B3" s="32"/>
      <c r="C3" s="32"/>
      <c r="D3" s="32"/>
      <c r="E3" s="32"/>
      <c r="F3" s="32"/>
      <c r="G3" s="32"/>
      <c r="H3" s="32"/>
    </row>
    <row r="4" customFormat="false" ht="15" hidden="false" customHeight="false" outlineLevel="0" collapsed="false">
      <c r="A4" s="33" t="str">
        <f aca="false">IF(SUM(سازگاری!D18:J18)&gt;0,"توجه: "&amp;SUM(سازگاری!D18:J18)&amp;" ماتریس از ماتریس‌های خبرگان ناسازگارتر از حد مجاز است؛ برگهٔ «سازگاری» را ببینید.","")</f>
        <v/>
      </c>
      <c r="B4" s="33"/>
      <c r="C4" s="33"/>
      <c r="D4" s="33"/>
      <c r="E4" s="33"/>
      <c r="F4" s="33"/>
      <c r="G4" s="33"/>
      <c r="H4" s="33"/>
    </row>
    <row r="5" customFormat="false" ht="31.5" hidden="false" customHeight="true" outlineLevel="0" collapsed="false">
      <c r="A5" s="6" t="s">
        <v>197</v>
      </c>
      <c r="B5" s="6"/>
      <c r="C5" s="6"/>
      <c r="D5" s="6"/>
      <c r="E5" s="6"/>
      <c r="F5" s="6"/>
      <c r="G5" s="6"/>
      <c r="H5" s="6"/>
      <c r="I5" s="6"/>
      <c r="J5" s="6"/>
      <c r="K5" s="6"/>
      <c r="L5" s="6"/>
    </row>
    <row r="7" customFormat="false" ht="15" hidden="false" customHeight="false" outlineLevel="0" collapsed="false">
      <c r="A7" s="34" t="s">
        <v>198</v>
      </c>
    </row>
    <row r="8" customFormat="false" ht="31.5" hidden="false" customHeight="true" outlineLevel="0" collapsed="false">
      <c r="A8" s="27" t="s">
        <v>199</v>
      </c>
      <c r="B8" s="27" t="s">
        <v>200</v>
      </c>
      <c r="C8" s="27" t="s">
        <v>201</v>
      </c>
      <c r="D8" s="27" t="s">
        <v>202</v>
      </c>
      <c r="E8" s="27" t="s">
        <v>203</v>
      </c>
      <c r="F8" s="27" t="s">
        <v>204</v>
      </c>
      <c r="G8" s="27" t="s">
        <v>205</v>
      </c>
      <c r="H8" s="35" t="s">
        <v>206</v>
      </c>
      <c r="I8" s="35" t="s">
        <v>207</v>
      </c>
    </row>
    <row r="9" customFormat="false" ht="27" hidden="false" customHeight="true" outlineLevel="0" collapsed="false">
      <c r="A9" s="19" t="s">
        <v>98</v>
      </c>
      <c r="B9" s="9" t="s">
        <v>99</v>
      </c>
      <c r="C9" s="36" t="n">
        <f aca="false">تجمیع!M7</f>
        <v>0.12492749575445</v>
      </c>
      <c r="D9" s="11" t="n">
        <f aca="false">IF(ISNUMBER(C9),RANK(C9,$C$9:$C$17),"")</f>
        <v>4</v>
      </c>
      <c r="E9" s="37" t="n">
        <f aca="false">وزن_مستقیم!D39</f>
        <v>0.115792859440335</v>
      </c>
      <c r="F9" s="11" t="n">
        <f aca="false">وزن_مستقیم!E39</f>
        <v>4</v>
      </c>
      <c r="G9" s="38" t="n">
        <f aca="false">IF(ISNUMBER(D9),F9-D9,"")</f>
        <v>0</v>
      </c>
      <c r="H9" s="39" t="n">
        <f aca="false">IF(ISNUMBER(C9),RANK(C9,$C$9:$C$17)+(COUNTIF($C$9:$C$17,C9)-1)/2,"")</f>
        <v>4</v>
      </c>
      <c r="I9" s="39" t="n">
        <f aca="false">RANK(E9,$E$9:$E$17)+(COUNTIF($E$9:$E$17,E9)-1)/2</f>
        <v>4</v>
      </c>
    </row>
    <row r="10" customFormat="false" ht="27" hidden="false" customHeight="true" outlineLevel="0" collapsed="false">
      <c r="A10" s="19" t="s">
        <v>100</v>
      </c>
      <c r="B10" s="9" t="s">
        <v>101</v>
      </c>
      <c r="C10" s="36" t="n">
        <f aca="false">تجمیع!M8</f>
        <v>0.0675204115838869</v>
      </c>
      <c r="D10" s="11" t="n">
        <f aca="false">IF(ISNUMBER(C10),RANK(C10,$C$9:$C$17),"")</f>
        <v>9</v>
      </c>
      <c r="E10" s="37" t="n">
        <f aca="false">وزن_مستقیم!D40</f>
        <v>0.0964940495336121</v>
      </c>
      <c r="F10" s="11" t="n">
        <f aca="false">وزن_مستقیم!E40</f>
        <v>9</v>
      </c>
      <c r="G10" s="38" t="n">
        <f aca="false">IF(ISNUMBER(D10),F10-D10,"")</f>
        <v>0</v>
      </c>
      <c r="H10" s="39" t="n">
        <f aca="false">IF(ISNUMBER(C10),RANK(C10,$C$9:$C$17)+(COUNTIF($C$9:$C$17,C10)-1)/2,"")</f>
        <v>9</v>
      </c>
      <c r="I10" s="39" t="n">
        <f aca="false">RANK(E10,$E$9:$E$17)+(COUNTIF($E$9:$E$17,E10)-1)/2</f>
        <v>9</v>
      </c>
    </row>
    <row r="11" customFormat="false" ht="27" hidden="false" customHeight="true" outlineLevel="0" collapsed="false">
      <c r="A11" s="19" t="s">
        <v>102</v>
      </c>
      <c r="B11" s="9" t="s">
        <v>103</v>
      </c>
      <c r="C11" s="36" t="n">
        <f aca="false">تجمیع!M9</f>
        <v>0.0835306372537398</v>
      </c>
      <c r="D11" s="11" t="n">
        <f aca="false">IF(ISNUMBER(C11),RANK(C11,$C$9:$C$17),"")</f>
        <v>7</v>
      </c>
      <c r="E11" s="37" t="n">
        <f aca="false">وزن_مستقیم!D41</f>
        <v>0.102926986169186</v>
      </c>
      <c r="F11" s="11" t="n">
        <f aca="false">وزن_مستقیم!E41</f>
        <v>7</v>
      </c>
      <c r="G11" s="38" t="n">
        <f aca="false">IF(ISNUMBER(D11),F11-D11,"")</f>
        <v>0</v>
      </c>
      <c r="H11" s="39" t="n">
        <f aca="false">IF(ISNUMBER(C11),RANK(C11,$C$9:$C$17)+(COUNTIF($C$9:$C$17,C11)-1)/2,"")</f>
        <v>7</v>
      </c>
      <c r="I11" s="39" t="n">
        <f aca="false">RANK(E11,$E$9:$E$17)+(COUNTIF($E$9:$E$17,E11)-1)/2</f>
        <v>7</v>
      </c>
    </row>
    <row r="12" customFormat="false" ht="27" hidden="false" customHeight="true" outlineLevel="0" collapsed="false">
      <c r="A12" s="19" t="s">
        <v>104</v>
      </c>
      <c r="B12" s="9" t="s">
        <v>105</v>
      </c>
      <c r="C12" s="36" t="n">
        <f aca="false">تجمیع!M10</f>
        <v>0.0799342269175613</v>
      </c>
      <c r="D12" s="11" t="n">
        <f aca="false">IF(ISNUMBER(C12),RANK(C12,$C$9:$C$17),"")</f>
        <v>8</v>
      </c>
      <c r="E12" s="37" t="n">
        <f aca="false">وزن_مستقیم!D42</f>
        <v>0.102283692505629</v>
      </c>
      <c r="F12" s="11" t="n">
        <f aca="false">وزن_مستقیم!E42</f>
        <v>8</v>
      </c>
      <c r="G12" s="38" t="n">
        <f aca="false">IF(ISNUMBER(D12),F12-D12,"")</f>
        <v>0</v>
      </c>
      <c r="H12" s="39" t="n">
        <f aca="false">IF(ISNUMBER(C12),RANK(C12,$C$9:$C$17)+(COUNTIF($C$9:$C$17,C12)-1)/2,"")</f>
        <v>8</v>
      </c>
      <c r="I12" s="39" t="n">
        <f aca="false">RANK(E12,$E$9:$E$17)+(COUNTIF($E$9:$E$17,E12)-1)/2</f>
        <v>8</v>
      </c>
    </row>
    <row r="13" customFormat="false" ht="27" hidden="false" customHeight="true" outlineLevel="0" collapsed="false">
      <c r="A13" s="19" t="s">
        <v>106</v>
      </c>
      <c r="B13" s="9" t="s">
        <v>107</v>
      </c>
      <c r="C13" s="36" t="n">
        <f aca="false">تجمیع!M11</f>
        <v>0.1099770692572</v>
      </c>
      <c r="D13" s="11" t="n">
        <f aca="false">IF(ISNUMBER(C13),RANK(C13,$C$9:$C$17),"")</f>
        <v>6</v>
      </c>
      <c r="E13" s="37" t="n">
        <f aca="false">وزن_مستقیم!D43</f>
        <v>0.110968156963654</v>
      </c>
      <c r="F13" s="11" t="n">
        <f aca="false">وزن_مستقیم!E43</f>
        <v>6</v>
      </c>
      <c r="G13" s="38" t="n">
        <f aca="false">IF(ISNUMBER(D13),F13-D13,"")</f>
        <v>0</v>
      </c>
      <c r="H13" s="39" t="n">
        <f aca="false">IF(ISNUMBER(C13),RANK(C13,$C$9:$C$17)+(COUNTIF($C$9:$C$17,C13)-1)/2,"")</f>
        <v>6</v>
      </c>
      <c r="I13" s="39" t="n">
        <f aca="false">RANK(E13,$E$9:$E$17)+(COUNTIF($E$9:$E$17,E13)-1)/2</f>
        <v>6</v>
      </c>
    </row>
    <row r="14" customFormat="false" ht="27" hidden="false" customHeight="true" outlineLevel="0" collapsed="false">
      <c r="A14" s="19" t="s">
        <v>108</v>
      </c>
      <c r="B14" s="9" t="s">
        <v>109</v>
      </c>
      <c r="C14" s="36" t="n">
        <f aca="false">تجمیع!M12</f>
        <v>0.129710744070713</v>
      </c>
      <c r="D14" s="11" t="n">
        <f aca="false">IF(ISNUMBER(C14),RANK(C14,$C$9:$C$17),"")</f>
        <v>3</v>
      </c>
      <c r="E14" s="37" t="n">
        <f aca="false">وزن_مستقیم!D44</f>
        <v>0.117079446767449</v>
      </c>
      <c r="F14" s="11" t="n">
        <f aca="false">وزن_مستقیم!E44</f>
        <v>3</v>
      </c>
      <c r="G14" s="38" t="n">
        <f aca="false">IF(ISNUMBER(D14),F14-D14,"")</f>
        <v>0</v>
      </c>
      <c r="H14" s="39" t="n">
        <f aca="false">IF(ISNUMBER(C14),RANK(C14,$C$9:$C$17)+(COUNTIF($C$9:$C$17,C14)-1)/2,"")</f>
        <v>3</v>
      </c>
      <c r="I14" s="39" t="n">
        <f aca="false">RANK(E14,$E$9:$E$17)+(COUNTIF($E$9:$E$17,E14)-1)/2</f>
        <v>3</v>
      </c>
    </row>
    <row r="15" customFormat="false" ht="27" hidden="false" customHeight="true" outlineLevel="0" collapsed="false">
      <c r="A15" s="19" t="s">
        <v>110</v>
      </c>
      <c r="B15" s="9" t="s">
        <v>111</v>
      </c>
      <c r="C15" s="36" t="n">
        <f aca="false">تجمیع!M13</f>
        <v>0.132239515279363</v>
      </c>
      <c r="D15" s="11" t="n">
        <f aca="false">IF(ISNUMBER(C15),RANK(C15,$C$9:$C$17),"")</f>
        <v>2</v>
      </c>
      <c r="E15" s="37" t="n">
        <f aca="false">وزن_مستقیم!D45</f>
        <v>0.119652621421679</v>
      </c>
      <c r="F15" s="11" t="n">
        <f aca="false">وزن_مستقیم!E45</f>
        <v>2</v>
      </c>
      <c r="G15" s="38" t="n">
        <f aca="false">IF(ISNUMBER(D15),F15-D15,"")</f>
        <v>0</v>
      </c>
      <c r="H15" s="39" t="n">
        <f aca="false">IF(ISNUMBER(C15),RANK(C15,$C$9:$C$17)+(COUNTIF($C$9:$C$17,C15)-1)/2,"")</f>
        <v>2</v>
      </c>
      <c r="I15" s="39" t="n">
        <f aca="false">RANK(E15,$E$9:$E$17)+(COUNTIF($E$9:$E$17,E15)-1)/2</f>
        <v>2</v>
      </c>
    </row>
    <row r="16" customFormat="false" ht="27" hidden="false" customHeight="true" outlineLevel="0" collapsed="false">
      <c r="A16" s="19" t="s">
        <v>112</v>
      </c>
      <c r="B16" s="9" t="s">
        <v>113</v>
      </c>
      <c r="C16" s="36" t="n">
        <f aca="false">تجمیع!M14</f>
        <v>0.117482090414124</v>
      </c>
      <c r="D16" s="11" t="n">
        <f aca="false">IF(ISNUMBER(C16),RANK(C16,$C$9:$C$17),"")</f>
        <v>5</v>
      </c>
      <c r="E16" s="37" t="n">
        <f aca="false">وزن_مستقیم!D46</f>
        <v>0.113219684786105</v>
      </c>
      <c r="F16" s="11" t="n">
        <f aca="false">وزن_مستقیم!E46</f>
        <v>5</v>
      </c>
      <c r="G16" s="38" t="n">
        <f aca="false">IF(ISNUMBER(D16),F16-D16,"")</f>
        <v>0</v>
      </c>
      <c r="H16" s="39" t="n">
        <f aca="false">IF(ISNUMBER(C16),RANK(C16,$C$9:$C$17)+(COUNTIF($C$9:$C$17,C16)-1)/2,"")</f>
        <v>5</v>
      </c>
      <c r="I16" s="39" t="n">
        <f aca="false">RANK(E16,$E$9:$E$17)+(COUNTIF($E$9:$E$17,E16)-1)/2</f>
        <v>5</v>
      </c>
    </row>
    <row r="17" customFormat="false" ht="27" hidden="false" customHeight="true" outlineLevel="0" collapsed="false">
      <c r="A17" s="19" t="s">
        <v>114</v>
      </c>
      <c r="B17" s="9" t="s">
        <v>115</v>
      </c>
      <c r="C17" s="36" t="n">
        <f aca="false">تجمیع!M15</f>
        <v>0.154677809468961</v>
      </c>
      <c r="D17" s="11" t="n">
        <f aca="false">IF(ISNUMBER(C17),RANK(C17,$C$9:$C$17),"")</f>
        <v>1</v>
      </c>
      <c r="E17" s="37" t="n">
        <f aca="false">وزن_مستقیم!D47</f>
        <v>0.121582502412351</v>
      </c>
      <c r="F17" s="11" t="n">
        <f aca="false">وزن_مستقیم!E47</f>
        <v>1</v>
      </c>
      <c r="G17" s="38" t="n">
        <f aca="false">IF(ISNUMBER(D17),F17-D17,"")</f>
        <v>0</v>
      </c>
      <c r="H17" s="39" t="n">
        <f aca="false">IF(ISNUMBER(C17),RANK(C17,$C$9:$C$17)+(COUNTIF($C$9:$C$17,C17)-1)/2,"")</f>
        <v>1</v>
      </c>
      <c r="I17" s="39" t="n">
        <f aca="false">RANK(E17,$E$9:$E$17)+(COUNTIF($E$9:$E$17,E17)-1)/2</f>
        <v>1</v>
      </c>
    </row>
    <row r="18" customFormat="false" ht="15" hidden="false" customHeight="false" outlineLevel="0" collapsed="false">
      <c r="B18" s="25" t="s">
        <v>208</v>
      </c>
      <c r="C18" s="40" t="n">
        <f aca="false">IF(COUNT(C9:C17)=9,SUM(C9:C17),"")</f>
        <v>1</v>
      </c>
      <c r="E18" s="40" t="n">
        <f aca="false">SUM(E9:E17)</f>
        <v>1</v>
      </c>
    </row>
    <row r="19" customFormat="false" ht="15" hidden="false" customHeight="false" outlineLevel="0" collapsed="false">
      <c r="B19" s="14" t="s">
        <v>209</v>
      </c>
      <c r="C19" s="41" t="n">
        <f aca="false">IFERROR(CORREL(H9:H17,I9:I17),"—")</f>
        <v>1</v>
      </c>
    </row>
    <row r="22" customFormat="false" ht="15" hidden="false" customHeight="false" outlineLevel="0" collapsed="false">
      <c r="A22" s="34" t="s">
        <v>210</v>
      </c>
    </row>
    <row r="23" customFormat="false" ht="31.5" hidden="false" customHeight="true" outlineLevel="0" collapsed="false">
      <c r="A23" s="27" t="s">
        <v>199</v>
      </c>
      <c r="B23" s="27" t="s">
        <v>211</v>
      </c>
      <c r="C23" s="27" t="s">
        <v>200</v>
      </c>
      <c r="D23" s="27" t="s">
        <v>212</v>
      </c>
      <c r="E23" s="27" t="s">
        <v>213</v>
      </c>
      <c r="F23" s="27" t="s">
        <v>214</v>
      </c>
      <c r="G23" s="27" t="s">
        <v>202</v>
      </c>
      <c r="H23" s="27" t="s">
        <v>203</v>
      </c>
      <c r="I23" s="27" t="s">
        <v>204</v>
      </c>
      <c r="J23" s="27" t="s">
        <v>205</v>
      </c>
      <c r="K23" s="35" t="s">
        <v>206</v>
      </c>
      <c r="L23" s="35" t="s">
        <v>207</v>
      </c>
    </row>
    <row r="24" customFormat="false" ht="27" hidden="false" customHeight="true" outlineLevel="0" collapsed="false">
      <c r="A24" s="19" t="s">
        <v>117</v>
      </c>
      <c r="B24" s="9" t="s">
        <v>118</v>
      </c>
      <c r="C24" s="12" t="s">
        <v>98</v>
      </c>
      <c r="D24" s="37" t="n">
        <f aca="false">تجمیع!M21</f>
        <v>0.364564725114695</v>
      </c>
      <c r="E24" s="37" t="n">
        <f aca="false">C9</f>
        <v>0.12492749575445</v>
      </c>
      <c r="F24" s="36" t="n">
        <f aca="false">IF(AND(ISNUMBER(D24),ISNUMBER(E24)),D24*E24,"")</f>
        <v>0.0455441581489883</v>
      </c>
      <c r="G24" s="11" t="n">
        <f aca="false">IF(ISNUMBER(F24),RANK(F24,$F$24:$F$52),"")</f>
        <v>7</v>
      </c>
      <c r="H24" s="37" t="n">
        <f aca="false">وزن_مستقیم!L5</f>
        <v>0.0375302663438257</v>
      </c>
      <c r="I24" s="11" t="n">
        <f aca="false">وزن_مستقیم!M5</f>
        <v>6</v>
      </c>
      <c r="J24" s="38" t="n">
        <f aca="false">IF(ISNUMBER(G24),I24-G24,"")</f>
        <v>-1</v>
      </c>
      <c r="K24" s="39" t="n">
        <f aca="false">IF(ISNUMBER(F24),RANK(F24,$F$24:$F$52)+(COUNTIF($F$24:$F$52,F24)-1)/2,"")</f>
        <v>7.5</v>
      </c>
      <c r="L24" s="39" t="n">
        <f aca="false">RANK(H24,$H$24:$H$52)+(COUNTIF($H$24:$H$52,H24)-1)/2</f>
        <v>7</v>
      </c>
    </row>
    <row r="25" customFormat="false" ht="27" hidden="false" customHeight="true" outlineLevel="0" collapsed="false">
      <c r="A25" s="19" t="s">
        <v>119</v>
      </c>
      <c r="B25" s="9" t="s">
        <v>120</v>
      </c>
      <c r="C25" s="12" t="s">
        <v>98</v>
      </c>
      <c r="D25" s="37" t="n">
        <f aca="false">تجمیع!M22</f>
        <v>0.364564725114695</v>
      </c>
      <c r="E25" s="37" t="n">
        <f aca="false">C9</f>
        <v>0.12492749575445</v>
      </c>
      <c r="F25" s="36" t="n">
        <f aca="false">IF(AND(ISNUMBER(D25),ISNUMBER(E25)),D25*E25,"")</f>
        <v>0.0455441581489883</v>
      </c>
      <c r="G25" s="11" t="n">
        <f aca="false">IF(ISNUMBER(F25),RANK(F25,$F$24:$F$52),"")</f>
        <v>7</v>
      </c>
      <c r="H25" s="37" t="n">
        <f aca="false">وزن_مستقیم!L6</f>
        <v>0.0375302663438257</v>
      </c>
      <c r="I25" s="11" t="n">
        <f aca="false">وزن_مستقیم!M6</f>
        <v>6</v>
      </c>
      <c r="J25" s="38" t="n">
        <f aca="false">IF(ISNUMBER(G25),I25-G25,"")</f>
        <v>-1</v>
      </c>
      <c r="K25" s="39" t="n">
        <f aca="false">IF(ISNUMBER(F25),RANK(F25,$F$24:$F$52)+(COUNTIF($F$24:$F$52,F25)-1)/2,"")</f>
        <v>7.5</v>
      </c>
      <c r="L25" s="39" t="n">
        <f aca="false">RANK(H25,$H$24:$H$52)+(COUNTIF($H$24:$H$52,H25)-1)/2</f>
        <v>7</v>
      </c>
    </row>
    <row r="26" customFormat="false" ht="27" hidden="false" customHeight="true" outlineLevel="0" collapsed="false">
      <c r="A26" s="19" t="s">
        <v>121</v>
      </c>
      <c r="B26" s="9" t="s">
        <v>122</v>
      </c>
      <c r="C26" s="12" t="s">
        <v>98</v>
      </c>
      <c r="D26" s="37" t="n">
        <f aca="false">تجمیع!M23</f>
        <v>0.270870549770609</v>
      </c>
      <c r="E26" s="37" t="n">
        <f aca="false">C9</f>
        <v>0.12492749575445</v>
      </c>
      <c r="F26" s="36" t="n">
        <f aca="false">IF(AND(ISNUMBER(D26),ISNUMBER(E26)),D26*E26,"")</f>
        <v>0.0338391794564733</v>
      </c>
      <c r="G26" s="11" t="n">
        <f aca="false">IF(ISNUMBER(F26),RANK(F26,$F$24:$F$52),"")</f>
        <v>10</v>
      </c>
      <c r="H26" s="37" t="n">
        <f aca="false">وزن_مستقیم!L7</f>
        <v>0.0338983050847458</v>
      </c>
      <c r="I26" s="11" t="n">
        <f aca="false">وزن_مستقیم!M7</f>
        <v>9</v>
      </c>
      <c r="J26" s="38" t="n">
        <f aca="false">IF(ISNUMBER(G26),I26-G26,"")</f>
        <v>-1</v>
      </c>
      <c r="K26" s="39" t="n">
        <f aca="false">IF(ISNUMBER(F26),RANK(F26,$F$24:$F$52)+(COUNTIF($F$24:$F$52,F26)-1)/2,"")</f>
        <v>10</v>
      </c>
      <c r="L26" s="39" t="n">
        <f aca="false">RANK(H26,$H$24:$H$52)+(COUNTIF($H$24:$H$52,H26)-1)/2</f>
        <v>17</v>
      </c>
    </row>
    <row r="27" customFormat="false" ht="27" hidden="false" customHeight="true" outlineLevel="0" collapsed="false">
      <c r="A27" s="19" t="s">
        <v>123</v>
      </c>
      <c r="B27" s="9" t="s">
        <v>124</v>
      </c>
      <c r="C27" s="12" t="s">
        <v>100</v>
      </c>
      <c r="D27" s="37" t="n">
        <f aca="false">تجمیع!M33</f>
        <v>0.322155658074583</v>
      </c>
      <c r="E27" s="37" t="n">
        <f aca="false">C10</f>
        <v>0.0675204115838869</v>
      </c>
      <c r="F27" s="36" t="n">
        <f aca="false">IF(AND(ISNUMBER(D27),ISNUMBER(E27)),D27*E27,"")</f>
        <v>0.0217520826272738</v>
      </c>
      <c r="G27" s="11" t="n">
        <f aca="false">IF(ISNUMBER(F27),RANK(F27,$F$24:$F$52),"")</f>
        <v>24</v>
      </c>
      <c r="H27" s="37" t="n">
        <f aca="false">وزن_مستقیم!L8</f>
        <v>0.0338983050847458</v>
      </c>
      <c r="I27" s="11" t="n">
        <f aca="false">وزن_مستقیم!M8</f>
        <v>9</v>
      </c>
      <c r="J27" s="38" t="n">
        <f aca="false">IF(ISNUMBER(G27),I27-G27,"")</f>
        <v>-15</v>
      </c>
      <c r="K27" s="39" t="n">
        <f aca="false">IF(ISNUMBER(F27),RANK(F27,$F$24:$F$52)+(COUNTIF($F$24:$F$52,F27)-1)/2,"")</f>
        <v>24.5</v>
      </c>
      <c r="L27" s="39" t="n">
        <f aca="false">RANK(H27,$H$24:$H$52)+(COUNTIF($H$24:$H$52,H27)-1)/2</f>
        <v>17</v>
      </c>
    </row>
    <row r="28" customFormat="false" ht="27" hidden="false" customHeight="true" outlineLevel="0" collapsed="false">
      <c r="A28" s="19" t="s">
        <v>125</v>
      </c>
      <c r="B28" s="9" t="s">
        <v>126</v>
      </c>
      <c r="C28" s="12" t="s">
        <v>100</v>
      </c>
      <c r="D28" s="37" t="n">
        <f aca="false">تجمیع!M34</f>
        <v>0.322155658074583</v>
      </c>
      <c r="E28" s="37" t="n">
        <f aca="false">C10</f>
        <v>0.0675204115838869</v>
      </c>
      <c r="F28" s="36" t="n">
        <f aca="false">IF(AND(ISNUMBER(D28),ISNUMBER(E28)),D28*E28,"")</f>
        <v>0.0217520826272738</v>
      </c>
      <c r="G28" s="11" t="n">
        <f aca="false">IF(ISNUMBER(F28),RANK(F28,$F$24:$F$52),"")</f>
        <v>24</v>
      </c>
      <c r="H28" s="37" t="n">
        <f aca="false">وزن_مستقیم!L9</f>
        <v>0.0338983050847458</v>
      </c>
      <c r="I28" s="11" t="n">
        <f aca="false">وزن_مستقیم!M9</f>
        <v>9</v>
      </c>
      <c r="J28" s="38" t="n">
        <f aca="false">IF(ISNUMBER(G28),I28-G28,"")</f>
        <v>-15</v>
      </c>
      <c r="K28" s="39" t="n">
        <f aca="false">IF(ISNUMBER(F28),RANK(F28,$F$24:$F$52)+(COUNTIF($F$24:$F$52,F28)-1)/2,"")</f>
        <v>24.5</v>
      </c>
      <c r="L28" s="39" t="n">
        <f aca="false">RANK(H28,$H$24:$H$52)+(COUNTIF($H$24:$H$52,H28)-1)/2</f>
        <v>17</v>
      </c>
    </row>
    <row r="29" customFormat="false" ht="27" hidden="false" customHeight="true" outlineLevel="0" collapsed="false">
      <c r="A29" s="19" t="s">
        <v>127</v>
      </c>
      <c r="B29" s="9" t="s">
        <v>128</v>
      </c>
      <c r="C29" s="12" t="s">
        <v>100</v>
      </c>
      <c r="D29" s="37" t="n">
        <f aca="false">تجمیع!M35</f>
        <v>0.177844341925417</v>
      </c>
      <c r="E29" s="37" t="n">
        <f aca="false">C10</f>
        <v>0.0675204115838869</v>
      </c>
      <c r="F29" s="36" t="n">
        <f aca="false">IF(AND(ISNUMBER(D29),ISNUMBER(E29)),D29*E29,"")</f>
        <v>0.0120081231646697</v>
      </c>
      <c r="G29" s="11" t="n">
        <f aca="false">IF(ISNUMBER(F29),RANK(F29,$F$24:$F$52),"")</f>
        <v>28</v>
      </c>
      <c r="H29" s="37" t="n">
        <f aca="false">وزن_مستقیم!L10</f>
        <v>0.026634382566586</v>
      </c>
      <c r="I29" s="11" t="n">
        <f aca="false">وزن_مستقیم!M10</f>
        <v>27</v>
      </c>
      <c r="J29" s="38" t="n">
        <f aca="false">IF(ISNUMBER(G29),I29-G29,"")</f>
        <v>-1</v>
      </c>
      <c r="K29" s="39" t="n">
        <f aca="false">IF(ISNUMBER(F29),RANK(F29,$F$24:$F$52)+(COUNTIF($F$24:$F$52,F29)-1)/2,"")</f>
        <v>28.5</v>
      </c>
      <c r="L29" s="39" t="n">
        <f aca="false">RANK(H29,$H$24:$H$52)+(COUNTIF($H$24:$H$52,H29)-1)/2</f>
        <v>28</v>
      </c>
    </row>
    <row r="30" customFormat="false" ht="27" hidden="false" customHeight="true" outlineLevel="0" collapsed="false">
      <c r="A30" s="19" t="s">
        <v>129</v>
      </c>
      <c r="B30" s="9" t="s">
        <v>130</v>
      </c>
      <c r="C30" s="12" t="s">
        <v>100</v>
      </c>
      <c r="D30" s="37" t="n">
        <f aca="false">تجمیع!M36</f>
        <v>0.177844341925417</v>
      </c>
      <c r="E30" s="37" t="n">
        <f aca="false">C10</f>
        <v>0.0675204115838869</v>
      </c>
      <c r="F30" s="36" t="n">
        <f aca="false">IF(AND(ISNUMBER(D30),ISNUMBER(E30)),D30*E30,"")</f>
        <v>0.0120081231646697</v>
      </c>
      <c r="G30" s="11" t="n">
        <f aca="false">IF(ISNUMBER(F30),RANK(F30,$F$24:$F$52),"")</f>
        <v>28</v>
      </c>
      <c r="H30" s="37" t="n">
        <f aca="false">وزن_مستقیم!L11</f>
        <v>0.026634382566586</v>
      </c>
      <c r="I30" s="11" t="n">
        <f aca="false">وزن_مستقیم!M11</f>
        <v>27</v>
      </c>
      <c r="J30" s="38" t="n">
        <f aca="false">IF(ISNUMBER(G30),I30-G30,"")</f>
        <v>-1</v>
      </c>
      <c r="K30" s="39" t="n">
        <f aca="false">IF(ISNUMBER(F30),RANK(F30,$F$24:$F$52)+(COUNTIF($F$24:$F$52,F30)-1)/2,"")</f>
        <v>28.5</v>
      </c>
      <c r="L30" s="39" t="n">
        <f aca="false">RANK(H30,$H$24:$H$52)+(COUNTIF($H$24:$H$52,H30)-1)/2</f>
        <v>28</v>
      </c>
    </row>
    <row r="31" customFormat="false" ht="27" hidden="false" customHeight="true" outlineLevel="0" collapsed="false">
      <c r="A31" s="19" t="s">
        <v>131</v>
      </c>
      <c r="B31" s="9" t="s">
        <v>132</v>
      </c>
      <c r="C31" s="12" t="s">
        <v>102</v>
      </c>
      <c r="D31" s="37" t="n">
        <f aca="false">تجمیع!M45</f>
        <v>0.37411846984281</v>
      </c>
      <c r="E31" s="37" t="n">
        <f aca="false">C11</f>
        <v>0.0835306372537398</v>
      </c>
      <c r="F31" s="36" t="n">
        <f aca="false">IF(AND(ISNUMBER(D31),ISNUMBER(E31)),D31*E31,"")</f>
        <v>0.031250354194364</v>
      </c>
      <c r="G31" s="11" t="n">
        <f aca="false">IF(ISNUMBER(F31),RANK(F31,$F$24:$F$52),"")</f>
        <v>16</v>
      </c>
      <c r="H31" s="37" t="n">
        <f aca="false">وزن_مستقیم!L12</f>
        <v>0.0338983050847458</v>
      </c>
      <c r="I31" s="11" t="n">
        <f aca="false">وزن_مستقیم!M12</f>
        <v>9</v>
      </c>
      <c r="J31" s="38" t="n">
        <f aca="false">IF(ISNUMBER(G31),I31-G31,"")</f>
        <v>-7</v>
      </c>
      <c r="K31" s="39" t="n">
        <f aca="false">IF(ISNUMBER(F31),RANK(F31,$F$24:$F$52)+(COUNTIF($F$24:$F$52,F31)-1)/2,"")</f>
        <v>16.5</v>
      </c>
      <c r="L31" s="39" t="n">
        <f aca="false">RANK(H31,$H$24:$H$52)+(COUNTIF($H$24:$H$52,H31)-1)/2</f>
        <v>17</v>
      </c>
    </row>
    <row r="32" customFormat="false" ht="27" hidden="false" customHeight="true" outlineLevel="0" collapsed="false">
      <c r="A32" s="19" t="s">
        <v>133</v>
      </c>
      <c r="B32" s="9" t="s">
        <v>134</v>
      </c>
      <c r="C32" s="12" t="s">
        <v>102</v>
      </c>
      <c r="D32" s="37" t="n">
        <f aca="false">تجمیع!M46</f>
        <v>0.37411846984281</v>
      </c>
      <c r="E32" s="37" t="n">
        <f aca="false">C11</f>
        <v>0.0835306372537398</v>
      </c>
      <c r="F32" s="36" t="n">
        <f aca="false">IF(AND(ISNUMBER(D32),ISNUMBER(E32)),D32*E32,"")</f>
        <v>0.031250354194364</v>
      </c>
      <c r="G32" s="11" t="n">
        <f aca="false">IF(ISNUMBER(F32),RANK(F32,$F$24:$F$52),"")</f>
        <v>16</v>
      </c>
      <c r="H32" s="37" t="n">
        <f aca="false">وزن_مستقیم!L13</f>
        <v>0.0338983050847458</v>
      </c>
      <c r="I32" s="11" t="n">
        <f aca="false">وزن_مستقیم!M13</f>
        <v>9</v>
      </c>
      <c r="J32" s="38" t="n">
        <f aca="false">IF(ISNUMBER(G32),I32-G32,"")</f>
        <v>-7</v>
      </c>
      <c r="K32" s="39" t="n">
        <f aca="false">IF(ISNUMBER(F32),RANK(F32,$F$24:$F$52)+(COUNTIF($F$24:$F$52,F32)-1)/2,"")</f>
        <v>16.5</v>
      </c>
      <c r="L32" s="39" t="n">
        <f aca="false">RANK(H32,$H$24:$H$52)+(COUNTIF($H$24:$H$52,H32)-1)/2</f>
        <v>17</v>
      </c>
    </row>
    <row r="33" customFormat="false" ht="27" hidden="false" customHeight="true" outlineLevel="0" collapsed="false">
      <c r="A33" s="19" t="s">
        <v>135</v>
      </c>
      <c r="B33" s="9" t="s">
        <v>136</v>
      </c>
      <c r="C33" s="12" t="s">
        <v>102</v>
      </c>
      <c r="D33" s="37" t="n">
        <f aca="false">تجمیع!M47</f>
        <v>0.25176306031438</v>
      </c>
      <c r="E33" s="37" t="n">
        <f aca="false">C11</f>
        <v>0.0835306372537398</v>
      </c>
      <c r="F33" s="36" t="n">
        <f aca="false">IF(AND(ISNUMBER(D33),ISNUMBER(E33)),D33*E33,"")</f>
        <v>0.0210299288650119</v>
      </c>
      <c r="G33" s="11" t="n">
        <f aca="false">IF(ISNUMBER(F33),RANK(F33,$F$24:$F$52),"")</f>
        <v>26</v>
      </c>
      <c r="H33" s="37" t="n">
        <f aca="false">وزن_مستقیم!L14</f>
        <v>0.0290556900726392</v>
      </c>
      <c r="I33" s="11" t="n">
        <f aca="false">وزن_مستقیم!M14</f>
        <v>26</v>
      </c>
      <c r="J33" s="38" t="n">
        <f aca="false">IF(ISNUMBER(G33),I33-G33,"")</f>
        <v>0</v>
      </c>
      <c r="K33" s="39" t="n">
        <f aca="false">IF(ISNUMBER(F33),RANK(F33,$F$24:$F$52)+(COUNTIF($F$24:$F$52,F33)-1)/2,"")</f>
        <v>26</v>
      </c>
      <c r="L33" s="39" t="n">
        <f aca="false">RANK(H33,$H$24:$H$52)+(COUNTIF($H$24:$H$52,H33)-1)/2</f>
        <v>26</v>
      </c>
    </row>
    <row r="34" customFormat="false" ht="27" hidden="false" customHeight="true" outlineLevel="0" collapsed="false">
      <c r="A34" s="19" t="s">
        <v>137</v>
      </c>
      <c r="B34" s="9" t="s">
        <v>138</v>
      </c>
      <c r="C34" s="12" t="s">
        <v>104</v>
      </c>
      <c r="D34" s="37" t="n">
        <f aca="false">تجمیع!M57</f>
        <v>0.281527984149192</v>
      </c>
      <c r="E34" s="37" t="n">
        <f aca="false">C12</f>
        <v>0.0799342269175613</v>
      </c>
      <c r="F34" s="36" t="n">
        <f aca="false">IF(AND(ISNUMBER(D34),ISNUMBER(E34)),D34*E34,"")</f>
        <v>0.0225037217686251</v>
      </c>
      <c r="G34" s="11" t="n">
        <f aca="false">IF(ISNUMBER(F34),RANK(F34,$F$24:$F$52),"")</f>
        <v>21</v>
      </c>
      <c r="H34" s="37" t="n">
        <f aca="false">وزن_مستقیم!L15</f>
        <v>0.0338983050847458</v>
      </c>
      <c r="I34" s="11" t="n">
        <f aca="false">وزن_مستقیم!M15</f>
        <v>9</v>
      </c>
      <c r="J34" s="38" t="n">
        <f aca="false">IF(ISNUMBER(G34),I34-G34,"")</f>
        <v>-12</v>
      </c>
      <c r="K34" s="39" t="n">
        <f aca="false">IF(ISNUMBER(F34),RANK(F34,$F$24:$F$52)+(COUNTIF($F$24:$F$52,F34)-1)/2,"")</f>
        <v>22</v>
      </c>
      <c r="L34" s="39" t="n">
        <f aca="false">RANK(H34,$H$24:$H$52)+(COUNTIF($H$24:$H$52,H34)-1)/2</f>
        <v>17</v>
      </c>
    </row>
    <row r="35" customFormat="false" ht="27" hidden="false" customHeight="true" outlineLevel="0" collapsed="false">
      <c r="A35" s="19" t="s">
        <v>139</v>
      </c>
      <c r="B35" s="9" t="s">
        <v>140</v>
      </c>
      <c r="C35" s="12" t="s">
        <v>104</v>
      </c>
      <c r="D35" s="37" t="n">
        <f aca="false">تجمیع!M58</f>
        <v>0.281527984149192</v>
      </c>
      <c r="E35" s="37" t="n">
        <f aca="false">C12</f>
        <v>0.0799342269175613</v>
      </c>
      <c r="F35" s="36" t="n">
        <f aca="false">IF(AND(ISNUMBER(D35),ISNUMBER(E35)),D35*E35,"")</f>
        <v>0.0225037217686251</v>
      </c>
      <c r="G35" s="11" t="n">
        <f aca="false">IF(ISNUMBER(F35),RANK(F35,$F$24:$F$52),"")</f>
        <v>21</v>
      </c>
      <c r="H35" s="37" t="n">
        <f aca="false">وزن_مستقیم!L16</f>
        <v>0.0338983050847458</v>
      </c>
      <c r="I35" s="11" t="n">
        <f aca="false">وزن_مستقیم!M16</f>
        <v>9</v>
      </c>
      <c r="J35" s="38" t="n">
        <f aca="false">IF(ISNUMBER(G35),I35-G35,"")</f>
        <v>-12</v>
      </c>
      <c r="K35" s="39" t="n">
        <f aca="false">IF(ISNUMBER(F35),RANK(F35,$F$24:$F$52)+(COUNTIF($F$24:$F$52,F35)-1)/2,"")</f>
        <v>22</v>
      </c>
      <c r="L35" s="39" t="n">
        <f aca="false">RANK(H35,$H$24:$H$52)+(COUNTIF($H$24:$H$52,H35)-1)/2</f>
        <v>17</v>
      </c>
    </row>
    <row r="36" customFormat="false" ht="27" hidden="false" customHeight="true" outlineLevel="0" collapsed="false">
      <c r="A36" s="19" t="s">
        <v>141</v>
      </c>
      <c r="B36" s="9" t="s">
        <v>142</v>
      </c>
      <c r="C36" s="12" t="s">
        <v>104</v>
      </c>
      <c r="D36" s="37" t="n">
        <f aca="false">تجمیع!M59</f>
        <v>0.155416047552425</v>
      </c>
      <c r="E36" s="37" t="n">
        <f aca="false">C12</f>
        <v>0.0799342269175613</v>
      </c>
      <c r="F36" s="36" t="n">
        <f aca="false">IF(AND(ISNUMBER(D36),ISNUMBER(E36)),D36*E36,"")</f>
        <v>0.012423061611686</v>
      </c>
      <c r="G36" s="11" t="n">
        <f aca="false">IF(ISNUMBER(F36),RANK(F36,$F$24:$F$52),"")</f>
        <v>27</v>
      </c>
      <c r="H36" s="37" t="n">
        <f aca="false">وزن_مستقیم!L17</f>
        <v>0.026634382566586</v>
      </c>
      <c r="I36" s="11" t="n">
        <f aca="false">وزن_مستقیم!M17</f>
        <v>27</v>
      </c>
      <c r="J36" s="38" t="n">
        <f aca="false">IF(ISNUMBER(G36),I36-G36,"")</f>
        <v>0</v>
      </c>
      <c r="K36" s="39" t="n">
        <f aca="false">IF(ISNUMBER(F36),RANK(F36,$F$24:$F$52)+(COUNTIF($F$24:$F$52,F36)-1)/2,"")</f>
        <v>27</v>
      </c>
      <c r="L36" s="39" t="n">
        <f aca="false">RANK(H36,$H$24:$H$52)+(COUNTIF($H$24:$H$52,H36)-1)/2</f>
        <v>28</v>
      </c>
    </row>
    <row r="37" customFormat="false" ht="27" hidden="false" customHeight="true" outlineLevel="0" collapsed="false">
      <c r="A37" s="19" t="s">
        <v>143</v>
      </c>
      <c r="B37" s="9" t="s">
        <v>144</v>
      </c>
      <c r="C37" s="12" t="s">
        <v>104</v>
      </c>
      <c r="D37" s="37" t="n">
        <f aca="false">تجمیع!M60</f>
        <v>0.281527984149192</v>
      </c>
      <c r="E37" s="37" t="n">
        <f aca="false">C12</f>
        <v>0.0799342269175613</v>
      </c>
      <c r="F37" s="36" t="n">
        <f aca="false">IF(AND(ISNUMBER(D37),ISNUMBER(E37)),D37*E37,"")</f>
        <v>0.0225037217686251</v>
      </c>
      <c r="G37" s="11" t="n">
        <f aca="false">IF(ISNUMBER(F37),RANK(F37,$F$24:$F$52),"")</f>
        <v>21</v>
      </c>
      <c r="H37" s="37" t="n">
        <f aca="false">وزن_مستقیم!L18</f>
        <v>0.0338983050847458</v>
      </c>
      <c r="I37" s="11" t="n">
        <f aca="false">وزن_مستقیم!M18</f>
        <v>9</v>
      </c>
      <c r="J37" s="38" t="n">
        <f aca="false">IF(ISNUMBER(G37),I37-G37,"")</f>
        <v>-12</v>
      </c>
      <c r="K37" s="39" t="n">
        <f aca="false">IF(ISNUMBER(F37),RANK(F37,$F$24:$F$52)+(COUNTIF($F$24:$F$52,F37)-1)/2,"")</f>
        <v>22</v>
      </c>
      <c r="L37" s="39" t="n">
        <f aca="false">RANK(H37,$H$24:$H$52)+(COUNTIF($H$24:$H$52,H37)-1)/2</f>
        <v>17</v>
      </c>
    </row>
    <row r="38" customFormat="false" ht="27" hidden="false" customHeight="true" outlineLevel="0" collapsed="false">
      <c r="A38" s="19" t="s">
        <v>145</v>
      </c>
      <c r="B38" s="9" t="s">
        <v>146</v>
      </c>
      <c r="C38" s="12" t="s">
        <v>106</v>
      </c>
      <c r="D38" s="37" t="n">
        <f aca="false">تجمیع!M69</f>
        <v>0.309694225126033</v>
      </c>
      <c r="E38" s="37" t="n">
        <f aca="false">C13</f>
        <v>0.1099770692572</v>
      </c>
      <c r="F38" s="36" t="n">
        <f aca="false">IF(AND(ISNUMBER(D38),ISNUMBER(E38)),D38*E38,"")</f>
        <v>0.0340592632452408</v>
      </c>
      <c r="G38" s="11" t="n">
        <f aca="false">IF(ISNUMBER(F38),RANK(F38,$F$24:$F$52),"")</f>
        <v>9</v>
      </c>
      <c r="H38" s="37" t="n">
        <f aca="false">وزن_مستقیم!L19</f>
        <v>0.0375302663438257</v>
      </c>
      <c r="I38" s="11" t="n">
        <f aca="false">وزن_مستقیم!M19</f>
        <v>6</v>
      </c>
      <c r="J38" s="38" t="n">
        <f aca="false">IF(ISNUMBER(G38),I38-G38,"")</f>
        <v>-3</v>
      </c>
      <c r="K38" s="39" t="n">
        <f aca="false">IF(ISNUMBER(F38),RANK(F38,$F$24:$F$52)+(COUNTIF($F$24:$F$52,F38)-1)/2,"")</f>
        <v>9</v>
      </c>
      <c r="L38" s="39" t="n">
        <f aca="false">RANK(H38,$H$24:$H$52)+(COUNTIF($H$24:$H$52,H38)-1)/2</f>
        <v>7</v>
      </c>
    </row>
    <row r="39" customFormat="false" ht="27" hidden="false" customHeight="true" outlineLevel="0" collapsed="false">
      <c r="A39" s="19" t="s">
        <v>147</v>
      </c>
      <c r="B39" s="9" t="s">
        <v>148</v>
      </c>
      <c r="C39" s="12" t="s">
        <v>106</v>
      </c>
      <c r="D39" s="37" t="n">
        <f aca="false">تجمیع!M70</f>
        <v>0.230101924957989</v>
      </c>
      <c r="E39" s="37" t="n">
        <f aca="false">C13</f>
        <v>0.1099770692572</v>
      </c>
      <c r="F39" s="36" t="n">
        <f aca="false">IF(AND(ISNUMBER(D39),ISNUMBER(E39)),D39*E39,"")</f>
        <v>0.0253059353373199</v>
      </c>
      <c r="G39" s="11" t="n">
        <f aca="false">IF(ISNUMBER(F39),RANK(F39,$F$24:$F$52),"")</f>
        <v>18</v>
      </c>
      <c r="H39" s="37" t="n">
        <f aca="false">وزن_مستقیم!L20</f>
        <v>0.0338983050847458</v>
      </c>
      <c r="I39" s="11" t="n">
        <f aca="false">وزن_مستقیم!M20</f>
        <v>9</v>
      </c>
      <c r="J39" s="38" t="n">
        <f aca="false">IF(ISNUMBER(G39),I39-G39,"")</f>
        <v>-9</v>
      </c>
      <c r="K39" s="39" t="n">
        <f aca="false">IF(ISNUMBER(F39),RANK(F39,$F$24:$F$52)+(COUNTIF($F$24:$F$52,F39)-1)/2,"")</f>
        <v>19</v>
      </c>
      <c r="L39" s="39" t="n">
        <f aca="false">RANK(H39,$H$24:$H$52)+(COUNTIF($H$24:$H$52,H39)-1)/2</f>
        <v>17</v>
      </c>
    </row>
    <row r="40" customFormat="false" ht="27" hidden="false" customHeight="true" outlineLevel="0" collapsed="false">
      <c r="A40" s="19" t="s">
        <v>149</v>
      </c>
      <c r="B40" s="9" t="s">
        <v>150</v>
      </c>
      <c r="C40" s="12" t="s">
        <v>106</v>
      </c>
      <c r="D40" s="37" t="n">
        <f aca="false">تجمیع!M71</f>
        <v>0.230101924957989</v>
      </c>
      <c r="E40" s="37" t="n">
        <f aca="false">C13</f>
        <v>0.1099770692572</v>
      </c>
      <c r="F40" s="36" t="n">
        <f aca="false">IF(AND(ISNUMBER(D40),ISNUMBER(E40)),D40*E40,"")</f>
        <v>0.0253059353373199</v>
      </c>
      <c r="G40" s="11" t="n">
        <f aca="false">IF(ISNUMBER(F40),RANK(F40,$F$24:$F$52),"")</f>
        <v>18</v>
      </c>
      <c r="H40" s="37" t="n">
        <f aca="false">وزن_مستقیم!L21</f>
        <v>0.0338983050847458</v>
      </c>
      <c r="I40" s="11" t="n">
        <f aca="false">وزن_مستقیم!M21</f>
        <v>9</v>
      </c>
      <c r="J40" s="38" t="n">
        <f aca="false">IF(ISNUMBER(G40),I40-G40,"")</f>
        <v>-9</v>
      </c>
      <c r="K40" s="39" t="n">
        <f aca="false">IF(ISNUMBER(F40),RANK(F40,$F$24:$F$52)+(COUNTIF($F$24:$F$52,F40)-1)/2,"")</f>
        <v>19</v>
      </c>
      <c r="L40" s="39" t="n">
        <f aca="false">RANK(H40,$H$24:$H$52)+(COUNTIF($H$24:$H$52,H40)-1)/2</f>
        <v>17</v>
      </c>
    </row>
    <row r="41" customFormat="false" ht="27" hidden="false" customHeight="true" outlineLevel="0" collapsed="false">
      <c r="A41" s="19" t="s">
        <v>151</v>
      </c>
      <c r="B41" s="9" t="s">
        <v>152</v>
      </c>
      <c r="C41" s="12" t="s">
        <v>106</v>
      </c>
      <c r="D41" s="37" t="n">
        <f aca="false">تجمیع!M72</f>
        <v>0.230101924957989</v>
      </c>
      <c r="E41" s="37" t="n">
        <f aca="false">C13</f>
        <v>0.1099770692572</v>
      </c>
      <c r="F41" s="36" t="n">
        <f aca="false">IF(AND(ISNUMBER(D41),ISNUMBER(E41)),D41*E41,"")</f>
        <v>0.0253059353373199</v>
      </c>
      <c r="G41" s="11" t="n">
        <f aca="false">IF(ISNUMBER(F41),RANK(F41,$F$24:$F$52),"")</f>
        <v>18</v>
      </c>
      <c r="H41" s="37" t="n">
        <f aca="false">وزن_مستقیم!L22</f>
        <v>0.0338983050847458</v>
      </c>
      <c r="I41" s="11" t="n">
        <f aca="false">وزن_مستقیم!M22</f>
        <v>9</v>
      </c>
      <c r="J41" s="38" t="n">
        <f aca="false">IF(ISNUMBER(G41),I41-G41,"")</f>
        <v>-9</v>
      </c>
      <c r="K41" s="39" t="n">
        <f aca="false">IF(ISNUMBER(F41),RANK(F41,$F$24:$F$52)+(COUNTIF($F$24:$F$52,F41)-1)/2,"")</f>
        <v>19</v>
      </c>
      <c r="L41" s="39" t="n">
        <f aca="false">RANK(H41,$H$24:$H$52)+(COUNTIF($H$24:$H$52,H41)-1)/2</f>
        <v>17</v>
      </c>
    </row>
    <row r="42" customFormat="false" ht="27" hidden="false" customHeight="true" outlineLevel="0" collapsed="false">
      <c r="A42" s="19" t="s">
        <v>153</v>
      </c>
      <c r="B42" s="9" t="s">
        <v>154</v>
      </c>
      <c r="C42" s="12" t="s">
        <v>108</v>
      </c>
      <c r="D42" s="37" t="n">
        <f aca="false">تجمیع!M81</f>
        <v>0.5</v>
      </c>
      <c r="E42" s="37" t="n">
        <f aca="false">C14</f>
        <v>0.129710744070713</v>
      </c>
      <c r="F42" s="36" t="n">
        <f aca="false">IF(AND(ISNUMBER(D42),ISNUMBER(E42)),D42*E42,"")</f>
        <v>0.0648553720353567</v>
      </c>
      <c r="G42" s="11" t="n">
        <f aca="false">IF(ISNUMBER(F42),RANK(F42,$F$24:$F$52),"")</f>
        <v>2</v>
      </c>
      <c r="H42" s="37" t="n">
        <f aca="false">وزن_مستقیم!L23</f>
        <v>0.0423728813559322</v>
      </c>
      <c r="I42" s="11" t="n">
        <f aca="false">وزن_مستقیم!M23</f>
        <v>1</v>
      </c>
      <c r="J42" s="38" t="n">
        <f aca="false">IF(ISNUMBER(G42),I42-G42,"")</f>
        <v>-1</v>
      </c>
      <c r="K42" s="39" t="n">
        <f aca="false">IF(ISNUMBER(F42),RANK(F42,$F$24:$F$52)+(COUNTIF($F$24:$F$52,F42)-1)/2,"")</f>
        <v>2</v>
      </c>
      <c r="L42" s="39" t="n">
        <f aca="false">RANK(H42,$H$24:$H$52)+(COUNTIF($H$24:$H$52,H42)-1)/2</f>
        <v>1.5</v>
      </c>
    </row>
    <row r="43" customFormat="false" ht="27" hidden="false" customHeight="true" outlineLevel="0" collapsed="false">
      <c r="A43" s="19" t="s">
        <v>155</v>
      </c>
      <c r="B43" s="9" t="s">
        <v>156</v>
      </c>
      <c r="C43" s="12" t="s">
        <v>108</v>
      </c>
      <c r="D43" s="37" t="n">
        <f aca="false">تجمیع!M82</f>
        <v>0.25</v>
      </c>
      <c r="E43" s="37" t="n">
        <f aca="false">C14</f>
        <v>0.129710744070713</v>
      </c>
      <c r="F43" s="36" t="n">
        <f aca="false">IF(AND(ISNUMBER(D43),ISNUMBER(E43)),D43*E43,"")</f>
        <v>0.0324276860176784</v>
      </c>
      <c r="G43" s="11" t="n">
        <f aca="false">IF(ISNUMBER(F43),RANK(F43,$F$24:$F$52),"")</f>
        <v>13</v>
      </c>
      <c r="H43" s="37" t="n">
        <f aca="false">وزن_مستقیم!L24</f>
        <v>0.0338983050847458</v>
      </c>
      <c r="I43" s="11" t="n">
        <f aca="false">وزن_مستقیم!M24</f>
        <v>9</v>
      </c>
      <c r="J43" s="38" t="n">
        <f aca="false">IF(ISNUMBER(G43),I43-G43,"")</f>
        <v>-4</v>
      </c>
      <c r="K43" s="39" t="n">
        <f aca="false">IF(ISNUMBER(F43),RANK(F43,$F$24:$F$52)+(COUNTIF($F$24:$F$52,F43)-1)/2,"")</f>
        <v>13.5</v>
      </c>
      <c r="L43" s="39" t="n">
        <f aca="false">RANK(H43,$H$24:$H$52)+(COUNTIF($H$24:$H$52,H43)-1)/2</f>
        <v>17</v>
      </c>
    </row>
    <row r="44" customFormat="false" ht="27" hidden="false" customHeight="true" outlineLevel="0" collapsed="false">
      <c r="A44" s="19" t="s">
        <v>157</v>
      </c>
      <c r="B44" s="9" t="s">
        <v>158</v>
      </c>
      <c r="C44" s="12" t="s">
        <v>108</v>
      </c>
      <c r="D44" s="37" t="n">
        <f aca="false">تجمیع!M83</f>
        <v>0.25</v>
      </c>
      <c r="E44" s="37" t="n">
        <f aca="false">C14</f>
        <v>0.129710744070713</v>
      </c>
      <c r="F44" s="36" t="n">
        <f aca="false">IF(AND(ISNUMBER(D44),ISNUMBER(E44)),D44*E44,"")</f>
        <v>0.0324276860176784</v>
      </c>
      <c r="G44" s="11" t="n">
        <f aca="false">IF(ISNUMBER(F44),RANK(F44,$F$24:$F$52),"")</f>
        <v>13</v>
      </c>
      <c r="H44" s="37" t="n">
        <f aca="false">وزن_مستقیم!L25</f>
        <v>0.0338983050847458</v>
      </c>
      <c r="I44" s="11" t="n">
        <f aca="false">وزن_مستقیم!M25</f>
        <v>9</v>
      </c>
      <c r="J44" s="38" t="n">
        <f aca="false">IF(ISNUMBER(G44),I44-G44,"")</f>
        <v>-4</v>
      </c>
      <c r="K44" s="39" t="n">
        <f aca="false">IF(ISNUMBER(F44),RANK(F44,$F$24:$F$52)+(COUNTIF($F$24:$F$52,F44)-1)/2,"")</f>
        <v>13.5</v>
      </c>
      <c r="L44" s="39" t="n">
        <f aca="false">RANK(H44,$H$24:$H$52)+(COUNTIF($H$24:$H$52,H44)-1)/2</f>
        <v>17</v>
      </c>
    </row>
    <row r="45" customFormat="false" ht="27" hidden="false" customHeight="true" outlineLevel="0" collapsed="false">
      <c r="A45" s="19" t="s">
        <v>159</v>
      </c>
      <c r="B45" s="9" t="s">
        <v>160</v>
      </c>
      <c r="C45" s="12" t="s">
        <v>110</v>
      </c>
      <c r="D45" s="37" t="n">
        <f aca="false">تجمیع!M93</f>
        <v>0.397577877428184</v>
      </c>
      <c r="E45" s="37" t="n">
        <f aca="false">C15</f>
        <v>0.132239515279363</v>
      </c>
      <c r="F45" s="36" t="n">
        <f aca="false">IF(AND(ISNUMBER(D45),ISNUMBER(E45)),D45*E45,"")</f>
        <v>0.0525755057969011</v>
      </c>
      <c r="G45" s="11" t="n">
        <f aca="false">IF(ISNUMBER(F45),RANK(F45,$F$24:$F$52),"")</f>
        <v>3</v>
      </c>
      <c r="H45" s="37" t="n">
        <f aca="false">وزن_مستقیم!L26</f>
        <v>0.0399515738498789</v>
      </c>
      <c r="I45" s="11" t="n">
        <f aca="false">وزن_مستقیم!M26</f>
        <v>3</v>
      </c>
      <c r="J45" s="38" t="n">
        <f aca="false">IF(ISNUMBER(G45),I45-G45,"")</f>
        <v>0</v>
      </c>
      <c r="K45" s="39" t="n">
        <f aca="false">IF(ISNUMBER(F45),RANK(F45,$F$24:$F$52)+(COUNTIF($F$24:$F$52,F45)-1)/2,"")</f>
        <v>3</v>
      </c>
      <c r="L45" s="39" t="n">
        <f aca="false">RANK(H45,$H$24:$H$52)+(COUNTIF($H$24:$H$52,H45)-1)/2</f>
        <v>3</v>
      </c>
    </row>
    <row r="46" customFormat="false" ht="27" hidden="false" customHeight="true" outlineLevel="0" collapsed="false">
      <c r="A46" s="19" t="s">
        <v>161</v>
      </c>
      <c r="B46" s="9" t="s">
        <v>162</v>
      </c>
      <c r="C46" s="12" t="s">
        <v>110</v>
      </c>
      <c r="D46" s="37" t="n">
        <f aca="false">تجمیع!M94</f>
        <v>0.360095691974521</v>
      </c>
      <c r="E46" s="37" t="n">
        <f aca="false">C15</f>
        <v>0.132239515279363</v>
      </c>
      <c r="F46" s="36" t="n">
        <f aca="false">IF(AND(ISNUMBER(D46),ISNUMBER(E46)),D46*E46,"")</f>
        <v>0.0476188797608975</v>
      </c>
      <c r="G46" s="11" t="n">
        <f aca="false">IF(ISNUMBER(F46),RANK(F46,$F$24:$F$52),"")</f>
        <v>6</v>
      </c>
      <c r="H46" s="37" t="n">
        <f aca="false">وزن_مستقیم!L27</f>
        <v>0.0387409200968523</v>
      </c>
      <c r="I46" s="11" t="n">
        <f aca="false">وزن_مستقیم!M27</f>
        <v>4</v>
      </c>
      <c r="J46" s="38" t="n">
        <f aca="false">IF(ISNUMBER(G46),I46-G46,"")</f>
        <v>-2</v>
      </c>
      <c r="K46" s="39" t="n">
        <f aca="false">IF(ISNUMBER(F46),RANK(F46,$F$24:$F$52)+(COUNTIF($F$24:$F$52,F46)-1)/2,"")</f>
        <v>6</v>
      </c>
      <c r="L46" s="39" t="n">
        <f aca="false">RANK(H46,$H$24:$H$52)+(COUNTIF($H$24:$H$52,H46)-1)/2</f>
        <v>4.5</v>
      </c>
    </row>
    <row r="47" customFormat="false" ht="27" hidden="false" customHeight="true" outlineLevel="0" collapsed="false">
      <c r="A47" s="19" t="s">
        <v>163</v>
      </c>
      <c r="B47" s="9" t="s">
        <v>164</v>
      </c>
      <c r="C47" s="12" t="s">
        <v>110</v>
      </c>
      <c r="D47" s="37" t="n">
        <f aca="false">تجمیع!M95</f>
        <v>0.242326430597295</v>
      </c>
      <c r="E47" s="37" t="n">
        <f aca="false">C15</f>
        <v>0.132239515279363</v>
      </c>
      <c r="F47" s="36" t="n">
        <f aca="false">IF(AND(ISNUMBER(D47),ISNUMBER(E47)),D47*E47,"")</f>
        <v>0.0320451297215645</v>
      </c>
      <c r="G47" s="11" t="n">
        <f aca="false">IF(ISNUMBER(F47),RANK(F47,$F$24:$F$52),"")</f>
        <v>15</v>
      </c>
      <c r="H47" s="37" t="n">
        <f aca="false">وزن_مستقیم!L28</f>
        <v>0.0338983050847458</v>
      </c>
      <c r="I47" s="11" t="n">
        <f aca="false">وزن_مستقیم!M28</f>
        <v>9</v>
      </c>
      <c r="J47" s="38" t="n">
        <f aca="false">IF(ISNUMBER(G47),I47-G47,"")</f>
        <v>-6</v>
      </c>
      <c r="K47" s="39" t="n">
        <f aca="false">IF(ISNUMBER(F47),RANK(F47,$F$24:$F$52)+(COUNTIF($F$24:$F$52,F47)-1)/2,"")</f>
        <v>15</v>
      </c>
      <c r="L47" s="39" t="n">
        <f aca="false">RANK(H47,$H$24:$H$52)+(COUNTIF($H$24:$H$52,H47)-1)/2</f>
        <v>17</v>
      </c>
    </row>
    <row r="48" customFormat="false" ht="27" hidden="false" customHeight="true" outlineLevel="0" collapsed="false">
      <c r="A48" s="19" t="s">
        <v>165</v>
      </c>
      <c r="B48" s="9" t="s">
        <v>166</v>
      </c>
      <c r="C48" s="12" t="s">
        <v>112</v>
      </c>
      <c r="D48" s="37" t="n">
        <f aca="false">تجمیع!M105</f>
        <v>0.426275594818845</v>
      </c>
      <c r="E48" s="37" t="n">
        <f aca="false">C16</f>
        <v>0.117482090414124</v>
      </c>
      <c r="F48" s="36" t="n">
        <f aca="false">IF(AND(ISNUMBER(D48),ISNUMBER(E48)),D48*E48,"")</f>
        <v>0.0500797479718422</v>
      </c>
      <c r="G48" s="11" t="n">
        <f aca="false">IF(ISNUMBER(F48),RANK(F48,$F$24:$F$52),"")</f>
        <v>5</v>
      </c>
      <c r="H48" s="37" t="n">
        <f aca="false">وزن_مستقیم!L29</f>
        <v>0.0387409200968523</v>
      </c>
      <c r="I48" s="11" t="n">
        <f aca="false">وزن_مستقیم!M29</f>
        <v>4</v>
      </c>
      <c r="J48" s="38" t="n">
        <f aca="false">IF(ISNUMBER(G48),I48-G48,"")</f>
        <v>-1</v>
      </c>
      <c r="K48" s="39" t="n">
        <f aca="false">IF(ISNUMBER(F48),RANK(F48,$F$24:$F$52)+(COUNTIF($F$24:$F$52,F48)-1)/2,"")</f>
        <v>5</v>
      </c>
      <c r="L48" s="39" t="n">
        <f aca="false">RANK(H48,$H$24:$H$52)+(COUNTIF($H$24:$H$52,H48)-1)/2</f>
        <v>4.5</v>
      </c>
    </row>
    <row r="49" customFormat="false" ht="27" hidden="false" customHeight="true" outlineLevel="0" collapsed="false">
      <c r="A49" s="19" t="s">
        <v>167</v>
      </c>
      <c r="B49" s="9" t="s">
        <v>168</v>
      </c>
      <c r="C49" s="12" t="s">
        <v>112</v>
      </c>
      <c r="D49" s="37" t="n">
        <f aca="false">تجمیع!M106</f>
        <v>0.286862202590578</v>
      </c>
      <c r="E49" s="37" t="n">
        <f aca="false">C16</f>
        <v>0.117482090414124</v>
      </c>
      <c r="F49" s="36" t="n">
        <f aca="false">IF(AND(ISNUMBER(D49),ISNUMBER(E49)),D49*E49,"")</f>
        <v>0.0337011712211411</v>
      </c>
      <c r="G49" s="11" t="n">
        <f aca="false">IF(ISNUMBER(F49),RANK(F49,$F$24:$F$52),"")</f>
        <v>11</v>
      </c>
      <c r="H49" s="37" t="n">
        <f aca="false">وزن_مستقیم!L30</f>
        <v>0.0338983050847458</v>
      </c>
      <c r="I49" s="11" t="n">
        <f aca="false">وزن_مستقیم!M30</f>
        <v>9</v>
      </c>
      <c r="J49" s="38" t="n">
        <f aca="false">IF(ISNUMBER(G49),I49-G49,"")</f>
        <v>-2</v>
      </c>
      <c r="K49" s="39" t="n">
        <f aca="false">IF(ISNUMBER(F49),RANK(F49,$F$24:$F$52)+(COUNTIF($F$24:$F$52,F49)-1)/2,"")</f>
        <v>11.5</v>
      </c>
      <c r="L49" s="39" t="n">
        <f aca="false">RANK(H49,$H$24:$H$52)+(COUNTIF($H$24:$H$52,H49)-1)/2</f>
        <v>17</v>
      </c>
    </row>
    <row r="50" customFormat="false" ht="27" hidden="false" customHeight="true" outlineLevel="0" collapsed="false">
      <c r="A50" s="19" t="s">
        <v>169</v>
      </c>
      <c r="B50" s="9" t="s">
        <v>170</v>
      </c>
      <c r="C50" s="12" t="s">
        <v>112</v>
      </c>
      <c r="D50" s="37" t="n">
        <f aca="false">تجمیع!M107</f>
        <v>0.286862202590578</v>
      </c>
      <c r="E50" s="37" t="n">
        <f aca="false">C16</f>
        <v>0.117482090414124</v>
      </c>
      <c r="F50" s="36" t="n">
        <f aca="false">IF(AND(ISNUMBER(D50),ISNUMBER(E50)),D50*E50,"")</f>
        <v>0.0337011712211411</v>
      </c>
      <c r="G50" s="11" t="n">
        <f aca="false">IF(ISNUMBER(F50),RANK(F50,$F$24:$F$52),"")</f>
        <v>11</v>
      </c>
      <c r="H50" s="37" t="n">
        <f aca="false">وزن_مستقیم!L31</f>
        <v>0.0338983050847458</v>
      </c>
      <c r="I50" s="11" t="n">
        <f aca="false">وزن_مستقیم!M31</f>
        <v>9</v>
      </c>
      <c r="J50" s="38" t="n">
        <f aca="false">IF(ISNUMBER(G50),I50-G50,"")</f>
        <v>-2</v>
      </c>
      <c r="K50" s="39" t="n">
        <f aca="false">IF(ISNUMBER(F50),RANK(F50,$F$24:$F$52)+(COUNTIF($F$24:$F$52,F50)-1)/2,"")</f>
        <v>11.5</v>
      </c>
      <c r="L50" s="39" t="n">
        <f aca="false">RANK(H50,$H$24:$H$52)+(COUNTIF($H$24:$H$52,H50)-1)/2</f>
        <v>17</v>
      </c>
    </row>
    <row r="51" customFormat="false" ht="27" hidden="false" customHeight="true" outlineLevel="0" collapsed="false">
      <c r="A51" s="19" t="s">
        <v>171</v>
      </c>
      <c r="B51" s="9" t="s">
        <v>172</v>
      </c>
      <c r="C51" s="12" t="s">
        <v>114</v>
      </c>
      <c r="D51" s="37" t="n">
        <f aca="false">تجمیع!M117</f>
        <v>0.666666666666667</v>
      </c>
      <c r="E51" s="37" t="n">
        <f aca="false">C17</f>
        <v>0.154677809468961</v>
      </c>
      <c r="F51" s="36" t="n">
        <f aca="false">IF(AND(ISNUMBER(D51),ISNUMBER(E51)),D51*E51,"")</f>
        <v>0.103118539645974</v>
      </c>
      <c r="G51" s="11" t="n">
        <f aca="false">IF(ISNUMBER(F51),RANK(F51,$F$24:$F$52),"")</f>
        <v>1</v>
      </c>
      <c r="H51" s="37" t="n">
        <f aca="false">وزن_مستقیم!L32</f>
        <v>0.0423728813559322</v>
      </c>
      <c r="I51" s="11" t="n">
        <f aca="false">وزن_مستقیم!M32</f>
        <v>1</v>
      </c>
      <c r="J51" s="38" t="n">
        <f aca="false">IF(ISNUMBER(G51),I51-G51,"")</f>
        <v>0</v>
      </c>
      <c r="K51" s="39" t="n">
        <f aca="false">IF(ISNUMBER(F51),RANK(F51,$F$24:$F$52)+(COUNTIF($F$24:$F$52,F51)-1)/2,"")</f>
        <v>1</v>
      </c>
      <c r="L51" s="39" t="n">
        <f aca="false">RANK(H51,$H$24:$H$52)+(COUNTIF($H$24:$H$52,H51)-1)/2</f>
        <v>1.5</v>
      </c>
    </row>
    <row r="52" customFormat="false" ht="27" hidden="false" customHeight="true" outlineLevel="0" collapsed="false">
      <c r="A52" s="19" t="s">
        <v>173</v>
      </c>
      <c r="B52" s="9" t="s">
        <v>174</v>
      </c>
      <c r="C52" s="12" t="s">
        <v>114</v>
      </c>
      <c r="D52" s="37" t="n">
        <f aca="false">تجمیع!M118</f>
        <v>0.333333333333333</v>
      </c>
      <c r="E52" s="37" t="n">
        <f aca="false">C17</f>
        <v>0.154677809468961</v>
      </c>
      <c r="F52" s="36" t="n">
        <f aca="false">IF(AND(ISNUMBER(D52),ISNUMBER(E52)),D52*E52,"")</f>
        <v>0.0515592698229869</v>
      </c>
      <c r="G52" s="11" t="n">
        <f aca="false">IF(ISNUMBER(F52),RANK(F52,$F$24:$F$52),"")</f>
        <v>4</v>
      </c>
      <c r="H52" s="37" t="n">
        <f aca="false">وزن_مستقیم!L33</f>
        <v>0.0338983050847458</v>
      </c>
      <c r="I52" s="11" t="n">
        <f aca="false">وزن_مستقیم!M33</f>
        <v>9</v>
      </c>
      <c r="J52" s="38" t="n">
        <f aca="false">IF(ISNUMBER(G52),I52-G52,"")</f>
        <v>5</v>
      </c>
      <c r="K52" s="39" t="n">
        <f aca="false">IF(ISNUMBER(F52),RANK(F52,$F$24:$F$52)+(COUNTIF($F$24:$F$52,F52)-1)/2,"")</f>
        <v>4</v>
      </c>
      <c r="L52" s="39" t="n">
        <f aca="false">RANK(H52,$H$24:$H$52)+(COUNTIF($H$24:$H$52,H52)-1)/2</f>
        <v>17</v>
      </c>
    </row>
    <row r="53" customFormat="false" ht="15" hidden="false" customHeight="false" outlineLevel="0" collapsed="false">
      <c r="B53" s="25" t="s">
        <v>208</v>
      </c>
      <c r="F53" s="40" t="n">
        <f aca="false">IF(COUNT(F24:F52)=29,SUM(F24:F52),"")</f>
        <v>1</v>
      </c>
      <c r="H53" s="40" t="n">
        <f aca="false">SUM(H24:H52)</f>
        <v>1</v>
      </c>
    </row>
    <row r="54" customFormat="false" ht="15" hidden="false" customHeight="false" outlineLevel="0" collapsed="false">
      <c r="B54" s="14" t="s">
        <v>215</v>
      </c>
      <c r="C54" s="41" t="n">
        <f aca="false">IFERROR(CORREL(K24:K52,L24:L52),"—")</f>
        <v>0.863630712207697</v>
      </c>
    </row>
  </sheetData>
  <sheetProtection sheet="true" formatColumns="false" formatRows="false"/>
  <mergeCells count="3">
    <mergeCell ref="A3:H3"/>
    <mergeCell ref="A4:H4"/>
    <mergeCell ref="A5:L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7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6" ySplit="8" topLeftCell="G9" activePane="bottomRight" state="frozen"/>
      <selection pane="topLeft" activeCell="A1" activeCellId="0" sqref="A1"/>
      <selection pane="topRight" activeCell="G1" activeCellId="0" sqref="G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8"/>
    <col collapsed="false" customWidth="true" hidden="false" outlineLevel="0" max="4" min="4" style="0" width="40"/>
    <col collapsed="false" customWidth="true" hidden="false" outlineLevel="0" max="5" min="5" style="0" width="8"/>
    <col collapsed="false" customWidth="true" hidden="false" outlineLevel="0" max="6" min="6" style="0" width="40"/>
    <col collapsed="false" customWidth="true" hidden="false" outlineLevel="0" max="13" min="7" style="0" width="8.5"/>
    <col collapsed="false" customWidth="true" hidden="false" outlineLevel="0" max="14" min="14" style="0" width="14"/>
    <col collapsed="false" customWidth="true" hidden="false" outlineLevel="0" max="15" min="15" style="0" width="12"/>
  </cols>
  <sheetData>
    <row r="1" customFormat="false" ht="25.5" hidden="false" customHeight="true" outlineLevel="0" collapsed="false">
      <c r="A1" s="1" t="s">
        <v>216</v>
      </c>
      <c r="B1" s="2"/>
      <c r="C1" s="2"/>
      <c r="D1" s="2"/>
      <c r="E1" s="2"/>
      <c r="F1" s="2"/>
      <c r="G1" s="2"/>
      <c r="H1" s="2"/>
      <c r="I1" s="2"/>
      <c r="J1" s="2"/>
      <c r="K1" s="2"/>
      <c r="L1" s="2"/>
      <c r="M1" s="2"/>
      <c r="N1" s="2"/>
      <c r="O1" s="2"/>
    </row>
    <row r="2" customFormat="false" ht="31.5" hidden="false" customHeight="true" outlineLevel="0" collapsed="false">
      <c r="A2" s="6" t="s">
        <v>217</v>
      </c>
      <c r="B2" s="6"/>
      <c r="C2" s="6"/>
      <c r="D2" s="6"/>
      <c r="E2" s="6"/>
      <c r="F2" s="6"/>
      <c r="G2" s="6"/>
      <c r="H2" s="6"/>
      <c r="I2" s="6"/>
      <c r="J2" s="6"/>
      <c r="K2" s="6"/>
      <c r="L2" s="6"/>
      <c r="M2" s="6"/>
      <c r="N2" s="6"/>
      <c r="O2" s="6"/>
    </row>
    <row r="8" customFormat="false" ht="30" hidden="false" customHeight="true" outlineLevel="0" collapsed="false">
      <c r="A8" s="27" t="s">
        <v>84</v>
      </c>
      <c r="B8" s="27" t="s">
        <v>85</v>
      </c>
      <c r="C8" s="27" t="s">
        <v>86</v>
      </c>
      <c r="D8" s="27" t="s">
        <v>87</v>
      </c>
      <c r="E8" s="27" t="s">
        <v>88</v>
      </c>
      <c r="F8" s="27" t="s">
        <v>89</v>
      </c>
      <c r="G8" s="27" t="s">
        <v>90</v>
      </c>
      <c r="H8" s="27" t="s">
        <v>28</v>
      </c>
      <c r="I8" s="27" t="s">
        <v>91</v>
      </c>
      <c r="J8" s="27" t="s">
        <v>92</v>
      </c>
      <c r="K8" s="27" t="s">
        <v>93</v>
      </c>
      <c r="L8" s="27" t="s">
        <v>94</v>
      </c>
      <c r="M8" s="27" t="s">
        <v>95</v>
      </c>
      <c r="N8" s="27" t="s">
        <v>218</v>
      </c>
      <c r="O8" s="27" t="s">
        <v>219</v>
      </c>
    </row>
    <row r="9" customFormat="false" ht="27" hidden="false" customHeight="true" outlineLevel="0" collapsed="false">
      <c r="A9" s="29" t="n">
        <f aca="false">ورودی!A9</f>
        <v>1</v>
      </c>
      <c r="B9" s="12" t="str">
        <f aca="false">ورودی!B9</f>
        <v>الف</v>
      </c>
      <c r="C9" s="12" t="str">
        <f aca="false">ورودی!C9</f>
        <v>م۱</v>
      </c>
      <c r="D9" s="9" t="str">
        <f aca="false">ورودی!D9</f>
        <v>آسیب‌پذیری ساختاری ناشی از تمرکز بر محصول واحد</v>
      </c>
      <c r="E9" s="12" t="str">
        <f aca="false">ورودی!E9</f>
        <v>م۲</v>
      </c>
      <c r="F9" s="9" t="str">
        <f aca="false">ورودی!F9</f>
        <v>ضعف برندسازی و دشواری تمایز محصول</v>
      </c>
      <c r="G9" s="31" t="n">
        <f aca="false">IF(ISNUMBER(ورودی!G9),IF(ورودی!G9&gt;0,ورودی!G9,1/ABS(ورودی!G9)),"")</f>
        <v>2</v>
      </c>
      <c r="H9" s="31" t="n">
        <f aca="false">IF(ISNUMBER(ورودی!H9),IF(ورودی!H9&gt;0,ورودی!H9,1/ABS(ورودی!H9)),"")</f>
        <v>2</v>
      </c>
      <c r="I9" s="31" t="n">
        <f aca="false">IF(ISNUMBER(ورودی!I9),IF(ورودی!I9&gt;0,ورودی!I9,1/ABS(ورودی!I9)),"")</f>
        <v>3</v>
      </c>
      <c r="J9" s="31" t="n">
        <f aca="false">IF(ISNUMBER(ورودی!J9),IF(ورودی!J9&gt;0,ورودی!J9,1/ABS(ورودی!J9)),"")</f>
        <v>2</v>
      </c>
      <c r="K9" s="31" t="n">
        <f aca="false">IF(ISNUMBER(ورودی!K9),IF(ورودی!K9&gt;0,ورودی!K9,1/ABS(ورودی!K9)),"")</f>
        <v>1</v>
      </c>
      <c r="L9" s="31" t="n">
        <f aca="false">IF(ISNUMBER(ورودی!L9),IF(ورودی!L9&gt;0,ورودی!L9,1/ABS(ورودی!L9)),"")</f>
        <v>2</v>
      </c>
      <c r="M9" s="31" t="n">
        <f aca="false">IF(ISNUMBER(ورودی!M9),IF(ورودی!M9&gt;0,ورودی!M9,1/ABS(ورودی!M9)),"")</f>
        <v>2</v>
      </c>
      <c r="N9" s="41" t="n">
        <f aca="false">IFERROR(GEOMEAN(G9:M9),"")</f>
        <v>1.91947121957741</v>
      </c>
      <c r="O9" s="29" t="n">
        <f aca="false">COUNT(G9:M9)</f>
        <v>7</v>
      </c>
    </row>
    <row r="10" customFormat="false" ht="27" hidden="false" customHeight="true" outlineLevel="0" collapsed="false">
      <c r="A10" s="29" t="n">
        <f aca="false">ورودی!A10</f>
        <v>2</v>
      </c>
      <c r="B10" s="12" t="str">
        <f aca="false">ورودی!B10</f>
        <v>الف</v>
      </c>
      <c r="C10" s="12" t="str">
        <f aca="false">ورودی!C10</f>
        <v>م۱</v>
      </c>
      <c r="D10" s="9" t="str">
        <f aca="false">ورودی!D10</f>
        <v>آسیب‌پذیری ساختاری ناشی از تمرکز بر محصول واحد</v>
      </c>
      <c r="E10" s="12" t="str">
        <f aca="false">ورودی!E10</f>
        <v>م۳</v>
      </c>
      <c r="F10" s="9" t="str">
        <f aca="false">ورودی!F10</f>
        <v>دشواری جذب و حفظ مشتری و وفاداری پایین</v>
      </c>
      <c r="G10" s="31" t="n">
        <f aca="false">IF(ISNUMBER(ورودی!G10),IF(ورودی!G10&gt;0,ورودی!G10,1/ABS(ورودی!G10)),"")</f>
        <v>2</v>
      </c>
      <c r="H10" s="31" t="n">
        <f aca="false">IF(ISNUMBER(ورودی!H10),IF(ورودی!H10&gt;0,ورودی!H10,1/ABS(ورودی!H10)),"")</f>
        <v>2</v>
      </c>
      <c r="I10" s="31" t="n">
        <f aca="false">IF(ISNUMBER(ورودی!I10),IF(ورودی!I10&gt;0,ورودی!I10,1/ABS(ورودی!I10)),"")</f>
        <v>2</v>
      </c>
      <c r="J10" s="31" t="n">
        <f aca="false">IF(ISNUMBER(ورودی!J10),IF(ورودی!J10&gt;0,ورودی!J10,1/ABS(ورودی!J10)),"")</f>
        <v>2</v>
      </c>
      <c r="K10" s="31" t="n">
        <f aca="false">IF(ISNUMBER(ورودی!K10),IF(ورودی!K10&gt;0,ورودی!K10,1/ABS(ورودی!K10)),"")</f>
        <v>1</v>
      </c>
      <c r="L10" s="31" t="n">
        <f aca="false">IF(ISNUMBER(ورودی!L10),IF(ورودی!L10&gt;0,ورودی!L10,1/ABS(ورودی!L10)),"")</f>
        <v>1</v>
      </c>
      <c r="M10" s="31" t="n">
        <f aca="false">IF(ISNUMBER(ورودی!M10),IF(ورودی!M10&gt;0,ورودی!M10,1/ABS(ورودی!M10)),"")</f>
        <v>1</v>
      </c>
      <c r="N10" s="41" t="n">
        <f aca="false">IFERROR(GEOMEAN(G10:M10),"")</f>
        <v>1.48599428913695</v>
      </c>
      <c r="O10" s="29" t="n">
        <f aca="false">COUNT(G10:M10)</f>
        <v>7</v>
      </c>
    </row>
    <row r="11" customFormat="false" ht="27" hidden="false" customHeight="true" outlineLevel="0" collapsed="false">
      <c r="A11" s="29" t="n">
        <f aca="false">ورودی!A11</f>
        <v>3</v>
      </c>
      <c r="B11" s="12" t="str">
        <f aca="false">ورودی!B11</f>
        <v>الف</v>
      </c>
      <c r="C11" s="12" t="str">
        <f aca="false">ورودی!C11</f>
        <v>م۱</v>
      </c>
      <c r="D11" s="9" t="str">
        <f aca="false">ورودی!D11</f>
        <v>آسیب‌پذیری ساختاری ناشی از تمرکز بر محصول واحد</v>
      </c>
      <c r="E11" s="12" t="str">
        <f aca="false">ورودی!E11</f>
        <v>م۴</v>
      </c>
      <c r="F11" s="9" t="str">
        <f aca="false">ورودی!F11</f>
        <v>ضعف در برنامه‌ریزی، پیش‌بینی و مدیریت فروش</v>
      </c>
      <c r="G11" s="31" t="n">
        <f aca="false">IF(ISNUMBER(ورودی!G11),IF(ورودی!G11&gt;0,ورودی!G11,1/ABS(ورودی!G11)),"")</f>
        <v>2</v>
      </c>
      <c r="H11" s="31" t="n">
        <f aca="false">IF(ISNUMBER(ورودی!H11),IF(ورودی!H11&gt;0,ورودی!H11,1/ABS(ورودی!H11)),"")</f>
        <v>2</v>
      </c>
      <c r="I11" s="31" t="n">
        <f aca="false">IF(ISNUMBER(ورودی!I11),IF(ورودی!I11&gt;0,ورودی!I11,1/ABS(ورودی!I11)),"")</f>
        <v>2</v>
      </c>
      <c r="J11" s="31" t="n">
        <f aca="false">IF(ISNUMBER(ورودی!J11),IF(ورودی!J11&gt;0,ورودی!J11,1/ABS(ورودی!J11)),"")</f>
        <v>2</v>
      </c>
      <c r="K11" s="31" t="n">
        <f aca="false">IF(ISNUMBER(ورودی!K11),IF(ورودی!K11&gt;0,ورودی!K11,1/ABS(ورودی!K11)),"")</f>
        <v>1</v>
      </c>
      <c r="L11" s="31" t="n">
        <f aca="false">IF(ISNUMBER(ورودی!L11),IF(ورودی!L11&gt;0,ورودی!L11,1/ABS(ورودی!L11)),"")</f>
        <v>1</v>
      </c>
      <c r="M11" s="31" t="n">
        <f aca="false">IF(ISNUMBER(ورودی!M11),IF(ورودی!M11&gt;0,ورودی!M11,1/ABS(ورودی!M11)),"")</f>
        <v>1</v>
      </c>
      <c r="N11" s="41" t="n">
        <f aca="false">IFERROR(GEOMEAN(G11:M11),"")</f>
        <v>1.48599428913695</v>
      </c>
      <c r="O11" s="29" t="n">
        <f aca="false">COUNT(G11:M11)</f>
        <v>7</v>
      </c>
    </row>
    <row r="12" customFormat="false" ht="27" hidden="false" customHeight="true" outlineLevel="0" collapsed="false">
      <c r="A12" s="29" t="n">
        <f aca="false">ورودی!A12</f>
        <v>4</v>
      </c>
      <c r="B12" s="12" t="str">
        <f aca="false">ورودی!B12</f>
        <v>الف</v>
      </c>
      <c r="C12" s="12" t="str">
        <f aca="false">ورودی!C12</f>
        <v>م۱</v>
      </c>
      <c r="D12" s="9" t="str">
        <f aca="false">ورودی!D12</f>
        <v>آسیب‌پذیری ساختاری ناشی از تمرکز بر محصول واحد</v>
      </c>
      <c r="E12" s="12" t="str">
        <f aca="false">ورودی!E12</f>
        <v>م۵</v>
      </c>
      <c r="F12" s="9" t="str">
        <f aca="false">ورودی!F12</f>
        <v>ناکارآمدی و هزینه‌بری شبکه توزیع و فروش</v>
      </c>
      <c r="G12" s="31" t="n">
        <f aca="false">IF(ISNUMBER(ورودی!G12),IF(ورودی!G12&gt;0,ورودی!G12,1/ABS(ورودی!G12)),"")</f>
        <v>1</v>
      </c>
      <c r="H12" s="31" t="n">
        <f aca="false">IF(ISNUMBER(ورودی!H12),IF(ورودی!H12&gt;0,ورودی!H12,1/ABS(ورودی!H12)),"")</f>
        <v>2</v>
      </c>
      <c r="I12" s="31" t="n">
        <f aca="false">IF(ISNUMBER(ورودی!I12),IF(ورودی!I12&gt;0,ورودی!I12,1/ABS(ورودی!I12)),"")</f>
        <v>1</v>
      </c>
      <c r="J12" s="31" t="n">
        <f aca="false">IF(ISNUMBER(ورودی!J12),IF(ورودی!J12&gt;0,ورودی!J12,1/ABS(ورودی!J12)),"")</f>
        <v>1</v>
      </c>
      <c r="K12" s="31" t="n">
        <f aca="false">IF(ISNUMBER(ورودی!K12),IF(ورودی!K12&gt;0,ورودی!K12,1/ABS(ورودی!K12)),"")</f>
        <v>1</v>
      </c>
      <c r="L12" s="31" t="n">
        <f aca="false">IF(ISNUMBER(ورودی!L12),IF(ورودی!L12&gt;0,ورودی!L12,1/ABS(ورودی!L12)),"")</f>
        <v>1</v>
      </c>
      <c r="M12" s="31" t="n">
        <f aca="false">IF(ISNUMBER(ورودی!M12),IF(ورودی!M12&gt;0,ورودی!M12,1/ABS(ورودی!M12)),"")</f>
        <v>1</v>
      </c>
      <c r="N12" s="41" t="n">
        <f aca="false">IFERROR(GEOMEAN(G12:M12),"")</f>
        <v>1.10408951367381</v>
      </c>
      <c r="O12" s="29" t="n">
        <f aca="false">COUNT(G12:M12)</f>
        <v>7</v>
      </c>
    </row>
    <row r="13" customFormat="false" ht="27" hidden="false" customHeight="true" outlineLevel="0" collapsed="false">
      <c r="A13" s="29" t="n">
        <f aca="false">ورودی!A13</f>
        <v>5</v>
      </c>
      <c r="B13" s="12" t="str">
        <f aca="false">ورودی!B13</f>
        <v>الف</v>
      </c>
      <c r="C13" s="12" t="str">
        <f aca="false">ورودی!C13</f>
        <v>م۱</v>
      </c>
      <c r="D13" s="9" t="str">
        <f aca="false">ورودی!D13</f>
        <v>آسیب‌پذیری ساختاری ناشی از تمرکز بر محصول واحد</v>
      </c>
      <c r="E13" s="12" t="str">
        <f aca="false">ورودی!E13</f>
        <v>م۶</v>
      </c>
      <c r="F13" s="9" t="str">
        <f aca="false">ورودی!F13</f>
        <v>شدت رقابت و فشار قیمتی بازار</v>
      </c>
      <c r="G13" s="31" t="n">
        <f aca="false">IF(ISNUMBER(ورودی!G13),IF(ورودی!G13&gt;0,ورودی!G13,1/ABS(ورودی!G13)),"")</f>
        <v>1</v>
      </c>
      <c r="H13" s="31" t="n">
        <f aca="false">IF(ISNUMBER(ورودی!H13),IF(ورودی!H13&gt;0,ورودی!H13,1/ABS(ورودی!H13)),"")</f>
        <v>1</v>
      </c>
      <c r="I13" s="31" t="n">
        <f aca="false">IF(ISNUMBER(ورودی!I13),IF(ورودی!I13&gt;0,ورودی!I13,1/ABS(ورودی!I13)),"")</f>
        <v>1</v>
      </c>
      <c r="J13" s="31" t="n">
        <f aca="false">IF(ISNUMBER(ورودی!J13),IF(ورودی!J13&gt;0,ورودی!J13,1/ABS(ورودی!J13)),"")</f>
        <v>1</v>
      </c>
      <c r="K13" s="31" t="n">
        <f aca="false">IF(ISNUMBER(ورودی!K13),IF(ورودی!K13&gt;0,ورودی!K13,1/ABS(ورودی!K13)),"")</f>
        <v>1</v>
      </c>
      <c r="L13" s="31" t="n">
        <f aca="false">IF(ISNUMBER(ورودی!L13),IF(ورودی!L13&gt;0,ورودی!L13,1/ABS(ورودی!L13)),"")</f>
        <v>1</v>
      </c>
      <c r="M13" s="31" t="n">
        <f aca="false">IF(ISNUMBER(ورودی!M13),IF(ورودی!M13&gt;0,ورودی!M13,1/ABS(ورودی!M13)),"")</f>
        <v>1</v>
      </c>
      <c r="N13" s="41" t="n">
        <f aca="false">IFERROR(GEOMEAN(G13:M13),"")</f>
        <v>1</v>
      </c>
      <c r="O13" s="29" t="n">
        <f aca="false">COUNT(G13:M13)</f>
        <v>7</v>
      </c>
    </row>
    <row r="14" customFormat="false" ht="27" hidden="false" customHeight="true" outlineLevel="0" collapsed="false">
      <c r="A14" s="29" t="n">
        <f aca="false">ورودی!A14</f>
        <v>6</v>
      </c>
      <c r="B14" s="12" t="str">
        <f aca="false">ورودی!B14</f>
        <v>الف</v>
      </c>
      <c r="C14" s="12" t="str">
        <f aca="false">ورودی!C14</f>
        <v>م۱</v>
      </c>
      <c r="D14" s="9" t="str">
        <f aca="false">ورودی!D14</f>
        <v>آسیب‌پذیری ساختاری ناشی از تمرکز بر محصول واحد</v>
      </c>
      <c r="E14" s="12" t="str">
        <f aca="false">ورودی!E14</f>
        <v>م۷</v>
      </c>
      <c r="F14" s="9" t="str">
        <f aca="false">ورودی!F14</f>
        <v>تغییر ذائقه مصرف‌کننده و محدودیت بازار هدف</v>
      </c>
      <c r="G14" s="31" t="n">
        <f aca="false">IF(ISNUMBER(ورودی!G14),IF(ورودی!G14&gt;0,ورودی!G14,1/ABS(ورودی!G14)),"")</f>
        <v>1</v>
      </c>
      <c r="H14" s="31" t="n">
        <f aca="false">IF(ISNUMBER(ورودی!H14),IF(ورودی!H14&gt;0,ورودی!H14,1/ABS(ورودی!H14)),"")</f>
        <v>1</v>
      </c>
      <c r="I14" s="31" t="n">
        <f aca="false">IF(ISNUMBER(ورودی!I14),IF(ورودی!I14&gt;0,ورودی!I14,1/ABS(ورودی!I14)),"")</f>
        <v>1</v>
      </c>
      <c r="J14" s="31" t="n">
        <f aca="false">IF(ISNUMBER(ورودی!J14),IF(ورودی!J14&gt;0,ورودی!J14,1/ABS(ورودی!J14)),"")</f>
        <v>1</v>
      </c>
      <c r="K14" s="31" t="n">
        <f aca="false">IF(ISNUMBER(ورودی!K14),IF(ورودی!K14&gt;0,ورودی!K14,1/ABS(ورودی!K14)),"")</f>
        <v>1</v>
      </c>
      <c r="L14" s="31" t="n">
        <f aca="false">IF(ISNUMBER(ورودی!L14),IF(ورودی!L14&gt;0,ورودی!L14,1/ABS(ورودی!L14)),"")</f>
        <v>1</v>
      </c>
      <c r="M14" s="31" t="n">
        <f aca="false">IF(ISNUMBER(ورودی!M14),IF(ورودی!M14&gt;0,ورودی!M14,1/ABS(ورودی!M14)),"")</f>
        <v>1</v>
      </c>
      <c r="N14" s="41" t="n">
        <f aca="false">IFERROR(GEOMEAN(G14:M14),"")</f>
        <v>1</v>
      </c>
      <c r="O14" s="29" t="n">
        <f aca="false">COUNT(G14:M14)</f>
        <v>7</v>
      </c>
    </row>
    <row r="15" customFormat="false" ht="27" hidden="false" customHeight="true" outlineLevel="0" collapsed="false">
      <c r="A15" s="29" t="n">
        <f aca="false">ورودی!A15</f>
        <v>7</v>
      </c>
      <c r="B15" s="12" t="str">
        <f aca="false">ورودی!B15</f>
        <v>الف</v>
      </c>
      <c r="C15" s="12" t="str">
        <f aca="false">ورودی!C15</f>
        <v>م۱</v>
      </c>
      <c r="D15" s="9" t="str">
        <f aca="false">ورودی!D15</f>
        <v>آسیب‌پذیری ساختاری ناشی از تمرکز بر محصول واحد</v>
      </c>
      <c r="E15" s="12" t="str">
        <f aca="false">ورودی!E15</f>
        <v>م۸</v>
      </c>
      <c r="F15" s="9" t="str">
        <f aca="false">ورودی!F15</f>
        <v>ناپایداری تأمین و نوسان بهای مواد اولیه</v>
      </c>
      <c r="G15" s="31" t="n">
        <f aca="false">IF(ISNUMBER(ورودی!G15),IF(ورودی!G15&gt;0,ورودی!G15,1/ABS(ورودی!G15)),"")</f>
        <v>1</v>
      </c>
      <c r="H15" s="31" t="n">
        <f aca="false">IF(ISNUMBER(ورودی!H15),IF(ورودی!H15&gt;0,ورودی!H15,1/ABS(ورودی!H15)),"")</f>
        <v>1</v>
      </c>
      <c r="I15" s="31" t="n">
        <f aca="false">IF(ISNUMBER(ورودی!I15),IF(ورودی!I15&gt;0,ورودی!I15,1/ABS(ورودی!I15)),"")</f>
        <v>2</v>
      </c>
      <c r="J15" s="31" t="n">
        <f aca="false">IF(ISNUMBER(ورودی!J15),IF(ورودی!J15&gt;0,ورودی!J15,1/ABS(ورودی!J15)),"")</f>
        <v>1</v>
      </c>
      <c r="K15" s="31" t="n">
        <f aca="false">IF(ISNUMBER(ورودی!K15),IF(ورودی!K15&gt;0,ورودی!K15,1/ABS(ورودی!K15)),"")</f>
        <v>1</v>
      </c>
      <c r="L15" s="31" t="n">
        <f aca="false">IF(ISNUMBER(ورودی!L15),IF(ورودی!L15&gt;0,ورودی!L15,1/ABS(ورودی!L15)),"")</f>
        <v>1</v>
      </c>
      <c r="M15" s="31" t="n">
        <f aca="false">IF(ISNUMBER(ورودی!M15),IF(ورودی!M15&gt;0,ورودی!M15,1/ABS(ورودی!M15)),"")</f>
        <v>1</v>
      </c>
      <c r="N15" s="41" t="n">
        <f aca="false">IFERROR(GEOMEAN(G15:M15),"")</f>
        <v>1.10408951367381</v>
      </c>
      <c r="O15" s="29" t="n">
        <f aca="false">COUNT(G15:M15)</f>
        <v>7</v>
      </c>
    </row>
    <row r="16" customFormat="false" ht="27" hidden="false" customHeight="true" outlineLevel="0" collapsed="false">
      <c r="A16" s="29" t="n">
        <f aca="false">ورودی!A16</f>
        <v>8</v>
      </c>
      <c r="B16" s="12" t="str">
        <f aca="false">ورودی!B16</f>
        <v>الف</v>
      </c>
      <c r="C16" s="12" t="str">
        <f aca="false">ورودی!C16</f>
        <v>م۱</v>
      </c>
      <c r="D16" s="9" t="str">
        <f aca="false">ورودی!D16</f>
        <v>آسیب‌پذیری ساختاری ناشی از تمرکز بر محصول واحد</v>
      </c>
      <c r="E16" s="12" t="str">
        <f aca="false">ورودی!E16</f>
        <v>م۹</v>
      </c>
      <c r="F16" s="9" t="str">
        <f aca="false">ورودی!F16</f>
        <v>فشارهای اقتصاد کلان و کاهش قدرت خرید</v>
      </c>
      <c r="G16" s="31" t="n">
        <f aca="false">IF(ISNUMBER(ورودی!G16),IF(ورودی!G16&gt;0,ورودی!G16,1/ABS(ورودی!G16)),"")</f>
        <v>1</v>
      </c>
      <c r="H16" s="31" t="n">
        <f aca="false">IF(ISNUMBER(ورودی!H16),IF(ورودی!H16&gt;0,ورودی!H16,1/ABS(ورودی!H16)),"")</f>
        <v>1</v>
      </c>
      <c r="I16" s="31" t="n">
        <f aca="false">IF(ISNUMBER(ورودی!I16),IF(ورودی!I16&gt;0,ورودی!I16,1/ABS(ورودی!I16)),"")</f>
        <v>1</v>
      </c>
      <c r="J16" s="31" t="n">
        <f aca="false">IF(ISNUMBER(ورودی!J16),IF(ورودی!J16&gt;0,ورودی!J16,1/ABS(ورودی!J16)),"")</f>
        <v>1</v>
      </c>
      <c r="K16" s="31" t="n">
        <f aca="false">IF(ISNUMBER(ورودی!K16),IF(ورودی!K16&gt;0,ورودی!K16,1/ABS(ورودی!K16)),"")</f>
        <v>0.5</v>
      </c>
      <c r="L16" s="31" t="n">
        <f aca="false">IF(ISNUMBER(ورودی!L16),IF(ورودی!L16&gt;0,ورودی!L16,1/ABS(ورودی!L16)),"")</f>
        <v>0.5</v>
      </c>
      <c r="M16" s="31" t="n">
        <f aca="false">IF(ISNUMBER(ورودی!M16),IF(ورودی!M16&gt;0,ورودی!M16,1/ABS(ورودی!M16)),"")</f>
        <v>0.5</v>
      </c>
      <c r="N16" s="41" t="n">
        <f aca="false">IFERROR(GEOMEAN(G16:M16),"")</f>
        <v>0.742997144568474</v>
      </c>
      <c r="O16" s="29" t="n">
        <f aca="false">COUNT(G16:M16)</f>
        <v>7</v>
      </c>
    </row>
    <row r="17" customFormat="false" ht="27" hidden="false" customHeight="true" outlineLevel="0" collapsed="false">
      <c r="A17" s="29" t="n">
        <f aca="false">ورودی!A17</f>
        <v>9</v>
      </c>
      <c r="B17" s="12" t="str">
        <f aca="false">ورودی!B17</f>
        <v>الف</v>
      </c>
      <c r="C17" s="12" t="str">
        <f aca="false">ورودی!C17</f>
        <v>م۲</v>
      </c>
      <c r="D17" s="9" t="str">
        <f aca="false">ورودی!D17</f>
        <v>ضعف برندسازی و دشواری تمایز محصول</v>
      </c>
      <c r="E17" s="12" t="str">
        <f aca="false">ورودی!E17</f>
        <v>م۳</v>
      </c>
      <c r="F17" s="9" t="str">
        <f aca="false">ورودی!F17</f>
        <v>دشواری جذب و حفظ مشتری و وفاداری پایین</v>
      </c>
      <c r="G17" s="31" t="n">
        <f aca="false">IF(ISNUMBER(ورودی!G17),IF(ورودی!G17&gt;0,ورودی!G17,1/ABS(ورودی!G17)),"")</f>
        <v>1</v>
      </c>
      <c r="H17" s="31" t="n">
        <f aca="false">IF(ISNUMBER(ورودی!H17),IF(ورودی!H17&gt;0,ورودی!H17,1/ABS(ورودی!H17)),"")</f>
        <v>1</v>
      </c>
      <c r="I17" s="31" t="n">
        <f aca="false">IF(ISNUMBER(ورودی!I17),IF(ورودی!I17&gt;0,ورودی!I17,1/ABS(ورودی!I17)),"")</f>
        <v>0.5</v>
      </c>
      <c r="J17" s="31" t="n">
        <f aca="false">IF(ISNUMBER(ورودی!J17),IF(ورودی!J17&gt;0,ورودی!J17,1/ABS(ورودی!J17)),"")</f>
        <v>1</v>
      </c>
      <c r="K17" s="31" t="n">
        <f aca="false">IF(ISNUMBER(ورودی!K17),IF(ورودی!K17&gt;0,ورودی!K17,1/ABS(ورودی!K17)),"")</f>
        <v>1</v>
      </c>
      <c r="L17" s="31" t="n">
        <f aca="false">IF(ISNUMBER(ورودی!L17),IF(ورودی!L17&gt;0,ورودی!L17,1/ABS(ورودی!L17)),"")</f>
        <v>1</v>
      </c>
      <c r="M17" s="31" t="n">
        <f aca="false">IF(ISNUMBER(ورودی!M17),IF(ورودی!M17&gt;0,ورودی!M17,1/ABS(ورودی!M17)),"")</f>
        <v>1</v>
      </c>
      <c r="N17" s="41" t="n">
        <f aca="false">IFERROR(GEOMEAN(G17:M17),"")</f>
        <v>0.905723664263907</v>
      </c>
      <c r="O17" s="29" t="n">
        <f aca="false">COUNT(G17:M17)</f>
        <v>7</v>
      </c>
    </row>
    <row r="18" customFormat="false" ht="27" hidden="false" customHeight="true" outlineLevel="0" collapsed="false">
      <c r="A18" s="29" t="n">
        <f aca="false">ورودی!A18</f>
        <v>10</v>
      </c>
      <c r="B18" s="12" t="str">
        <f aca="false">ورودی!B18</f>
        <v>الف</v>
      </c>
      <c r="C18" s="12" t="str">
        <f aca="false">ورودی!C18</f>
        <v>م۲</v>
      </c>
      <c r="D18" s="9" t="str">
        <f aca="false">ورودی!D18</f>
        <v>ضعف برندسازی و دشواری تمایز محصول</v>
      </c>
      <c r="E18" s="12" t="str">
        <f aca="false">ورودی!E18</f>
        <v>م۴</v>
      </c>
      <c r="F18" s="9" t="str">
        <f aca="false">ورودی!F18</f>
        <v>ضعف در برنامه‌ریزی، پیش‌بینی و مدیریت فروش</v>
      </c>
      <c r="G18" s="31" t="n">
        <f aca="false">IF(ISNUMBER(ورودی!G18),IF(ورودی!G18&gt;0,ورودی!G18,1/ABS(ورودی!G18)),"")</f>
        <v>1</v>
      </c>
      <c r="H18" s="31" t="n">
        <f aca="false">IF(ISNUMBER(ورودی!H18),IF(ورودی!H18&gt;0,ورودی!H18,1/ABS(ورودی!H18)),"")</f>
        <v>1</v>
      </c>
      <c r="I18" s="31" t="n">
        <f aca="false">IF(ISNUMBER(ورودی!I18),IF(ورودی!I18&gt;0,ورودی!I18,1/ABS(ورودی!I18)),"")</f>
        <v>1</v>
      </c>
      <c r="J18" s="31" t="n">
        <f aca="false">IF(ISNUMBER(ورودی!J18),IF(ورودی!J18&gt;0,ورودی!J18,1/ABS(ورودی!J18)),"")</f>
        <v>1</v>
      </c>
      <c r="K18" s="31" t="n">
        <f aca="false">IF(ISNUMBER(ورودی!K18),IF(ورودی!K18&gt;0,ورودی!K18,1/ABS(ورودی!K18)),"")</f>
        <v>1</v>
      </c>
      <c r="L18" s="31" t="n">
        <f aca="false">IF(ISNUMBER(ورودی!L18),IF(ورودی!L18&gt;0,ورودی!L18,1/ABS(ورودی!L18)),"")</f>
        <v>0.5</v>
      </c>
      <c r="M18" s="31" t="n">
        <f aca="false">IF(ISNUMBER(ورودی!M18),IF(ورودی!M18&gt;0,ورودی!M18,1/ABS(ورودی!M18)),"")</f>
        <v>1</v>
      </c>
      <c r="N18" s="41" t="n">
        <f aca="false">IFERROR(GEOMEAN(G18:M18),"")</f>
        <v>0.905723664263907</v>
      </c>
      <c r="O18" s="29" t="n">
        <f aca="false">COUNT(G18:M18)</f>
        <v>7</v>
      </c>
    </row>
    <row r="19" customFormat="false" ht="27" hidden="false" customHeight="true" outlineLevel="0" collapsed="false">
      <c r="A19" s="29" t="n">
        <f aca="false">ورودی!A19</f>
        <v>11</v>
      </c>
      <c r="B19" s="12" t="str">
        <f aca="false">ورودی!B19</f>
        <v>الف</v>
      </c>
      <c r="C19" s="12" t="str">
        <f aca="false">ورودی!C19</f>
        <v>م۲</v>
      </c>
      <c r="D19" s="9" t="str">
        <f aca="false">ورودی!D19</f>
        <v>ضعف برندسازی و دشواری تمایز محصول</v>
      </c>
      <c r="E19" s="12" t="str">
        <f aca="false">ورودی!E19</f>
        <v>م۵</v>
      </c>
      <c r="F19" s="9" t="str">
        <f aca="false">ورودی!F19</f>
        <v>ناکارآمدی و هزینه‌بری شبکه توزیع و فروش</v>
      </c>
      <c r="G19" s="31" t="n">
        <f aca="false">IF(ISNUMBER(ورودی!G19),IF(ورودی!G19&gt;0,ورودی!G19,1/ABS(ورودی!G19)),"")</f>
        <v>0.5</v>
      </c>
      <c r="H19" s="31" t="n">
        <f aca="false">IF(ISNUMBER(ورودی!H19),IF(ورودی!H19&gt;0,ورودی!H19,1/ABS(ورودی!H19)),"")</f>
        <v>1</v>
      </c>
      <c r="I19" s="31" t="n">
        <f aca="false">IF(ISNUMBER(ورودی!I19),IF(ورودی!I19&gt;0,ورودی!I19,1/ABS(ورودی!I19)),"")</f>
        <v>0.5</v>
      </c>
      <c r="J19" s="31" t="n">
        <f aca="false">IF(ISNUMBER(ورودی!J19),IF(ورودی!J19&gt;0,ورودی!J19,1/ABS(ورودی!J19)),"")</f>
        <v>0.5</v>
      </c>
      <c r="K19" s="31" t="n">
        <f aca="false">IF(ISNUMBER(ورودی!K19),IF(ورودی!K19&gt;0,ورودی!K19,1/ABS(ورودی!K19)),"")</f>
        <v>0.5</v>
      </c>
      <c r="L19" s="31" t="n">
        <f aca="false">IF(ISNUMBER(ورودی!L19),IF(ورودی!L19&gt;0,ورودی!L19,1/ABS(ورودی!L19)),"")</f>
        <v>0.5</v>
      </c>
      <c r="M19" s="31" t="n">
        <f aca="false">IF(ISNUMBER(ورودی!M19),IF(ورودی!M19&gt;0,ورودی!M19,1/ABS(ورودی!M19)),"")</f>
        <v>0.5</v>
      </c>
      <c r="N19" s="41" t="n">
        <f aca="false">IFERROR(GEOMEAN(G19:M19),"")</f>
        <v>0.552044756836906</v>
      </c>
      <c r="O19" s="29" t="n">
        <f aca="false">COUNT(G19:M19)</f>
        <v>7</v>
      </c>
    </row>
    <row r="20" customFormat="false" ht="27" hidden="false" customHeight="true" outlineLevel="0" collapsed="false">
      <c r="A20" s="29" t="n">
        <f aca="false">ورودی!A20</f>
        <v>12</v>
      </c>
      <c r="B20" s="12" t="str">
        <f aca="false">ورودی!B20</f>
        <v>الف</v>
      </c>
      <c r="C20" s="12" t="str">
        <f aca="false">ورودی!C20</f>
        <v>م۲</v>
      </c>
      <c r="D20" s="9" t="str">
        <f aca="false">ورودی!D20</f>
        <v>ضعف برندسازی و دشواری تمایز محصول</v>
      </c>
      <c r="E20" s="12" t="str">
        <f aca="false">ورودی!E20</f>
        <v>م۶</v>
      </c>
      <c r="F20" s="9" t="str">
        <f aca="false">ورودی!F20</f>
        <v>شدت رقابت و فشار قیمتی بازار</v>
      </c>
      <c r="G20" s="31" t="n">
        <f aca="false">IF(ISNUMBER(ورودی!G20),IF(ورودی!G20&gt;0,ورودی!G20,1/ABS(ورودی!G20)),"")</f>
        <v>0.5</v>
      </c>
      <c r="H20" s="31" t="n">
        <f aca="false">IF(ISNUMBER(ورودی!H20),IF(ورودی!H20&gt;0,ورودی!H20,1/ABS(ورودی!H20)),"")</f>
        <v>0.5</v>
      </c>
      <c r="I20" s="31" t="n">
        <f aca="false">IF(ISNUMBER(ورودی!I20),IF(ورودی!I20&gt;0,ورودی!I20,1/ABS(ورودی!I20)),"")</f>
        <v>0.5</v>
      </c>
      <c r="J20" s="31" t="n">
        <f aca="false">IF(ISNUMBER(ورودی!J20),IF(ورودی!J20&gt;0,ورودی!J20,1/ABS(ورودی!J20)),"")</f>
        <v>0.5</v>
      </c>
      <c r="K20" s="31" t="n">
        <f aca="false">IF(ISNUMBER(ورودی!K20),IF(ورودی!K20&gt;0,ورودی!K20,1/ABS(ورودی!K20)),"")</f>
        <v>0.5</v>
      </c>
      <c r="L20" s="31" t="n">
        <f aca="false">IF(ISNUMBER(ورودی!L20),IF(ورودی!L20&gt;0,ورودی!L20,1/ABS(ورودی!L20)),"")</f>
        <v>0.5</v>
      </c>
      <c r="M20" s="31" t="n">
        <f aca="false">IF(ISNUMBER(ورودی!M20),IF(ورودی!M20&gt;0,ورودی!M20,1/ABS(ورودی!M20)),"")</f>
        <v>0.5</v>
      </c>
      <c r="N20" s="41" t="n">
        <f aca="false">IFERROR(GEOMEAN(G20:M20),"")</f>
        <v>0.5</v>
      </c>
      <c r="O20" s="29" t="n">
        <f aca="false">COUNT(G20:M20)</f>
        <v>7</v>
      </c>
    </row>
    <row r="21" customFormat="false" ht="27" hidden="false" customHeight="true" outlineLevel="0" collapsed="false">
      <c r="A21" s="29" t="n">
        <f aca="false">ورودی!A21</f>
        <v>13</v>
      </c>
      <c r="B21" s="12" t="str">
        <f aca="false">ورودی!B21</f>
        <v>الف</v>
      </c>
      <c r="C21" s="12" t="str">
        <f aca="false">ورودی!C21</f>
        <v>م۲</v>
      </c>
      <c r="D21" s="9" t="str">
        <f aca="false">ورودی!D21</f>
        <v>ضعف برندسازی و دشواری تمایز محصول</v>
      </c>
      <c r="E21" s="12" t="str">
        <f aca="false">ورودی!E21</f>
        <v>م۷</v>
      </c>
      <c r="F21" s="9" t="str">
        <f aca="false">ورودی!F21</f>
        <v>تغییر ذائقه مصرف‌کننده و محدودیت بازار هدف</v>
      </c>
      <c r="G21" s="31" t="n">
        <f aca="false">IF(ISNUMBER(ورودی!G21),IF(ورودی!G21&gt;0,ورودی!G21,1/ABS(ورودی!G21)),"")</f>
        <v>0.333333333333333</v>
      </c>
      <c r="H21" s="31" t="n">
        <f aca="false">IF(ISNUMBER(ورودی!H21),IF(ورودی!H21&gt;0,ورودی!H21,1/ABS(ورودی!H21)),"")</f>
        <v>0.5</v>
      </c>
      <c r="I21" s="31" t="n">
        <f aca="false">IF(ISNUMBER(ورودی!I21),IF(ورودی!I21&gt;0,ورودی!I21,1/ABS(ورودی!I21)),"")</f>
        <v>0.333333333333333</v>
      </c>
      <c r="J21" s="31" t="n">
        <f aca="false">IF(ISNUMBER(ورودی!J21),IF(ورودی!J21&gt;0,ورودی!J21,1/ABS(ورودی!J21)),"")</f>
        <v>0.333333333333333</v>
      </c>
      <c r="K21" s="31" t="n">
        <f aca="false">IF(ISNUMBER(ورودی!K21),IF(ورودی!K21&gt;0,ورودی!K21,1/ABS(ورودی!K21)),"")</f>
        <v>1</v>
      </c>
      <c r="L21" s="31" t="n">
        <f aca="false">IF(ISNUMBER(ورودی!L21),IF(ورودی!L21&gt;0,ورودی!L21,1/ABS(ورودی!L21)),"")</f>
        <v>0.5</v>
      </c>
      <c r="M21" s="31" t="n">
        <f aca="false">IF(ISNUMBER(ورودی!M21),IF(ورودی!M21&gt;0,ورودی!M21,1/ABS(ورودی!M21)),"")</f>
        <v>0.5</v>
      </c>
      <c r="N21" s="41" t="n">
        <f aca="false">IFERROR(GEOMEAN(G21:M21),"")</f>
        <v>0.463987848635922</v>
      </c>
      <c r="O21" s="29" t="n">
        <f aca="false">COUNT(G21:M21)</f>
        <v>7</v>
      </c>
    </row>
    <row r="22" customFormat="false" ht="27" hidden="false" customHeight="true" outlineLevel="0" collapsed="false">
      <c r="A22" s="29" t="n">
        <f aca="false">ورودی!A22</f>
        <v>14</v>
      </c>
      <c r="B22" s="12" t="str">
        <f aca="false">ورودی!B22</f>
        <v>الف</v>
      </c>
      <c r="C22" s="12" t="str">
        <f aca="false">ورودی!C22</f>
        <v>م۲</v>
      </c>
      <c r="D22" s="9" t="str">
        <f aca="false">ورودی!D22</f>
        <v>ضعف برندسازی و دشواری تمایز محصول</v>
      </c>
      <c r="E22" s="12" t="str">
        <f aca="false">ورودی!E22</f>
        <v>م۸</v>
      </c>
      <c r="F22" s="9" t="str">
        <f aca="false">ورودی!F22</f>
        <v>ناپایداری تأمین و نوسان بهای مواد اولیه</v>
      </c>
      <c r="G22" s="31" t="n">
        <f aca="false">IF(ISNUMBER(ورودی!G22),IF(ورودی!G22&gt;0,ورودی!G22,1/ABS(ورودی!G22)),"")</f>
        <v>0.5</v>
      </c>
      <c r="H22" s="31" t="n">
        <f aca="false">IF(ISNUMBER(ورودی!H22),IF(ورودی!H22&gt;0,ورودی!H22,1/ABS(ورودی!H22)),"")</f>
        <v>0.5</v>
      </c>
      <c r="I22" s="31" t="n">
        <f aca="false">IF(ISNUMBER(ورودی!I22),IF(ورودی!I22&gt;0,ورودی!I22,1/ABS(ورودی!I22)),"")</f>
        <v>0.5</v>
      </c>
      <c r="J22" s="31" t="n">
        <f aca="false">IF(ISNUMBER(ورودی!J22),IF(ورودی!J22&gt;0,ورودی!J22,1/ABS(ورودی!J22)),"")</f>
        <v>0.5</v>
      </c>
      <c r="K22" s="31" t="n">
        <f aca="false">IF(ISNUMBER(ورودی!K22),IF(ورودی!K22&gt;0,ورودی!K22,1/ABS(ورودی!K22)),"")</f>
        <v>1</v>
      </c>
      <c r="L22" s="31" t="n">
        <f aca="false">IF(ISNUMBER(ورودی!L22),IF(ورودی!L22&gt;0,ورودی!L22,1/ABS(ورودی!L22)),"")</f>
        <v>0.5</v>
      </c>
      <c r="M22" s="31" t="n">
        <f aca="false">IF(ISNUMBER(ورودی!M22),IF(ورودی!M22&gt;0,ورودی!M22,1/ABS(ورودی!M22)),"")</f>
        <v>0.5</v>
      </c>
      <c r="N22" s="41" t="n">
        <f aca="false">IFERROR(GEOMEAN(G22:M22),"")</f>
        <v>0.552044756836906</v>
      </c>
      <c r="O22" s="29" t="n">
        <f aca="false">COUNT(G22:M22)</f>
        <v>7</v>
      </c>
    </row>
    <row r="23" customFormat="false" ht="27" hidden="false" customHeight="true" outlineLevel="0" collapsed="false">
      <c r="A23" s="29" t="n">
        <f aca="false">ورودی!A23</f>
        <v>15</v>
      </c>
      <c r="B23" s="12" t="str">
        <f aca="false">ورودی!B23</f>
        <v>الف</v>
      </c>
      <c r="C23" s="12" t="str">
        <f aca="false">ورودی!C23</f>
        <v>م۲</v>
      </c>
      <c r="D23" s="9" t="str">
        <f aca="false">ورودی!D23</f>
        <v>ضعف برندسازی و دشواری تمایز محصول</v>
      </c>
      <c r="E23" s="12" t="str">
        <f aca="false">ورودی!E23</f>
        <v>م۹</v>
      </c>
      <c r="F23" s="9" t="str">
        <f aca="false">ورودی!F23</f>
        <v>فشارهای اقتصاد کلان و کاهش قدرت خرید</v>
      </c>
      <c r="G23" s="31" t="n">
        <f aca="false">IF(ISNUMBER(ورودی!G23),IF(ورودی!G23&gt;0,ورودی!G23,1/ABS(ورودی!G23)),"")</f>
        <v>0.5</v>
      </c>
      <c r="H23" s="31" t="n">
        <f aca="false">IF(ISNUMBER(ورودی!H23),IF(ورودی!H23&gt;0,ورودی!H23,1/ABS(ورودی!H23)),"")</f>
        <v>0.5</v>
      </c>
      <c r="I23" s="31" t="n">
        <f aca="false">IF(ISNUMBER(ورودی!I23),IF(ورودی!I23&gt;0,ورودی!I23,1/ABS(ورودی!I23)),"")</f>
        <v>0.5</v>
      </c>
      <c r="J23" s="31" t="n">
        <f aca="false">IF(ISNUMBER(ورودی!J23),IF(ورودی!J23&gt;0,ورودی!J23,1/ABS(ورودی!J23)),"")</f>
        <v>0.5</v>
      </c>
      <c r="K23" s="31" t="n">
        <f aca="false">IF(ISNUMBER(ورودی!K23),IF(ورودی!K23&gt;0,ورودی!K23,1/ABS(ورودی!K23)),"")</f>
        <v>0.5</v>
      </c>
      <c r="L23" s="31" t="n">
        <f aca="false">IF(ISNUMBER(ورودی!L23),IF(ورودی!L23&gt;0,ورودی!L23,1/ABS(ورودی!L23)),"")</f>
        <v>0.5</v>
      </c>
      <c r="M23" s="31" t="n">
        <f aca="false">IF(ISNUMBER(ورودی!M23),IF(ورودی!M23&gt;0,ورودی!M23,1/ABS(ورودی!M23)),"")</f>
        <v>0.5</v>
      </c>
      <c r="N23" s="41" t="n">
        <f aca="false">IFERROR(GEOMEAN(G23:M23),"")</f>
        <v>0.5</v>
      </c>
      <c r="O23" s="29" t="n">
        <f aca="false">COUNT(G23:M23)</f>
        <v>7</v>
      </c>
    </row>
    <row r="24" customFormat="false" ht="27" hidden="false" customHeight="true" outlineLevel="0" collapsed="false">
      <c r="A24" s="29" t="n">
        <f aca="false">ورودی!A24</f>
        <v>16</v>
      </c>
      <c r="B24" s="12" t="str">
        <f aca="false">ورودی!B24</f>
        <v>الف</v>
      </c>
      <c r="C24" s="12" t="str">
        <f aca="false">ورودی!C24</f>
        <v>م۳</v>
      </c>
      <c r="D24" s="9" t="str">
        <f aca="false">ورودی!D24</f>
        <v>دشواری جذب و حفظ مشتری و وفاداری پایین</v>
      </c>
      <c r="E24" s="12" t="str">
        <f aca="false">ورودی!E24</f>
        <v>م۴</v>
      </c>
      <c r="F24" s="9" t="str">
        <f aca="false">ورودی!F24</f>
        <v>ضعف در برنامه‌ریزی، پیش‌بینی و مدیریت فروش</v>
      </c>
      <c r="G24" s="31" t="n">
        <f aca="false">IF(ISNUMBER(ورودی!G24),IF(ورودی!G24&gt;0,ورودی!G24,1/ABS(ورودی!G24)),"")</f>
        <v>1</v>
      </c>
      <c r="H24" s="31" t="n">
        <f aca="false">IF(ISNUMBER(ورودی!H24),IF(ورودی!H24&gt;0,ورودی!H24,1/ABS(ورودی!H24)),"")</f>
        <v>1</v>
      </c>
      <c r="I24" s="31" t="n">
        <f aca="false">IF(ISNUMBER(ورودی!I24),IF(ورودی!I24&gt;0,ورودی!I24,1/ABS(ورودی!I24)),"")</f>
        <v>1</v>
      </c>
      <c r="J24" s="31" t="n">
        <f aca="false">IF(ISNUMBER(ورودی!J24),IF(ورودی!J24&gt;0,ورودی!J24,1/ABS(ورودی!J24)),"")</f>
        <v>1</v>
      </c>
      <c r="K24" s="31" t="n">
        <f aca="false">IF(ISNUMBER(ورودی!K24),IF(ورودی!K24&gt;0,ورودی!K24,1/ABS(ورودی!K24)),"")</f>
        <v>1</v>
      </c>
      <c r="L24" s="31" t="n">
        <f aca="false">IF(ISNUMBER(ورودی!L24),IF(ورودی!L24&gt;0,ورودی!L24,1/ABS(ورودی!L24)),"")</f>
        <v>1</v>
      </c>
      <c r="M24" s="31" t="n">
        <f aca="false">IF(ISNUMBER(ورودی!M24),IF(ورودی!M24&gt;0,ورودی!M24,1/ABS(ورودی!M24)),"")</f>
        <v>1</v>
      </c>
      <c r="N24" s="41" t="n">
        <f aca="false">IFERROR(GEOMEAN(G24:M24),"")</f>
        <v>1</v>
      </c>
      <c r="O24" s="29" t="n">
        <f aca="false">COUNT(G24:M24)</f>
        <v>7</v>
      </c>
    </row>
    <row r="25" customFormat="false" ht="27" hidden="false" customHeight="true" outlineLevel="0" collapsed="false">
      <c r="A25" s="29" t="n">
        <f aca="false">ورودی!A25</f>
        <v>17</v>
      </c>
      <c r="B25" s="12" t="str">
        <f aca="false">ورودی!B25</f>
        <v>الف</v>
      </c>
      <c r="C25" s="12" t="str">
        <f aca="false">ورودی!C25</f>
        <v>م۳</v>
      </c>
      <c r="D25" s="9" t="str">
        <f aca="false">ورودی!D25</f>
        <v>دشواری جذب و حفظ مشتری و وفاداری پایین</v>
      </c>
      <c r="E25" s="12" t="str">
        <f aca="false">ورودی!E25</f>
        <v>م۵</v>
      </c>
      <c r="F25" s="9" t="str">
        <f aca="false">ورودی!F25</f>
        <v>ناکارآمدی و هزینه‌بری شبکه توزیع و فروش</v>
      </c>
      <c r="G25" s="31" t="n">
        <f aca="false">IF(ISNUMBER(ورودی!G25),IF(ورودی!G25&gt;0,ورودی!G25,1/ABS(ورودی!G25)),"")</f>
        <v>1</v>
      </c>
      <c r="H25" s="31" t="n">
        <f aca="false">IF(ISNUMBER(ورودی!H25),IF(ورودی!H25&gt;0,ورودی!H25,1/ABS(ورودی!H25)),"")</f>
        <v>1</v>
      </c>
      <c r="I25" s="31" t="n">
        <f aca="false">IF(ISNUMBER(ورودی!I25),IF(ورودی!I25&gt;0,ورودی!I25,1/ABS(ورودی!I25)),"")</f>
        <v>1</v>
      </c>
      <c r="J25" s="31" t="n">
        <f aca="false">IF(ISNUMBER(ورودی!J25),IF(ورودی!J25&gt;0,ورودی!J25,1/ABS(ورودی!J25)),"")</f>
        <v>1</v>
      </c>
      <c r="K25" s="31" t="n">
        <f aca="false">IF(ISNUMBER(ورودی!K25),IF(ورودی!K25&gt;0,ورودی!K25,1/ABS(ورودی!K25)),"")</f>
        <v>1</v>
      </c>
      <c r="L25" s="31" t="n">
        <f aca="false">IF(ISNUMBER(ورودی!L25),IF(ورودی!L25&gt;0,ورودی!L25,1/ABS(ورودی!L25)),"")</f>
        <v>1</v>
      </c>
      <c r="M25" s="31" t="n">
        <f aca="false">IF(ISNUMBER(ورودی!M25),IF(ورودی!M25&gt;0,ورودی!M25,1/ABS(ورودی!M25)),"")</f>
        <v>0.5</v>
      </c>
      <c r="N25" s="41" t="n">
        <f aca="false">IFERROR(GEOMEAN(G25:M25),"")</f>
        <v>0.905723664263907</v>
      </c>
      <c r="O25" s="29" t="n">
        <f aca="false">COUNT(G25:M25)</f>
        <v>7</v>
      </c>
    </row>
    <row r="26" customFormat="false" ht="27" hidden="false" customHeight="true" outlineLevel="0" collapsed="false">
      <c r="A26" s="29" t="n">
        <f aca="false">ورودی!A26</f>
        <v>18</v>
      </c>
      <c r="B26" s="12" t="str">
        <f aca="false">ورودی!B26</f>
        <v>الف</v>
      </c>
      <c r="C26" s="12" t="str">
        <f aca="false">ورودی!C26</f>
        <v>م۳</v>
      </c>
      <c r="D26" s="9" t="str">
        <f aca="false">ورودی!D26</f>
        <v>دشواری جذب و حفظ مشتری و وفاداری پایین</v>
      </c>
      <c r="E26" s="12" t="str">
        <f aca="false">ورودی!E26</f>
        <v>م۶</v>
      </c>
      <c r="F26" s="9" t="str">
        <f aca="false">ورودی!F26</f>
        <v>شدت رقابت و فشار قیمتی بازار</v>
      </c>
      <c r="G26" s="31" t="n">
        <f aca="false">IF(ISNUMBER(ورودی!G26),IF(ورودی!G26&gt;0,ورودی!G26,1/ABS(ورودی!G26)),"")</f>
        <v>0.5</v>
      </c>
      <c r="H26" s="31" t="n">
        <f aca="false">IF(ISNUMBER(ورودی!H26),IF(ورودی!H26&gt;0,ورودی!H26,1/ABS(ورودی!H26)),"")</f>
        <v>1</v>
      </c>
      <c r="I26" s="31" t="n">
        <f aca="false">IF(ISNUMBER(ورودی!I26),IF(ورودی!I26&gt;0,ورودی!I26,1/ABS(ورودی!I26)),"")</f>
        <v>1</v>
      </c>
      <c r="J26" s="31" t="n">
        <f aca="false">IF(ISNUMBER(ورودی!J26),IF(ورودی!J26&gt;0,ورودی!J26,1/ABS(ورودی!J26)),"")</f>
        <v>0.5</v>
      </c>
      <c r="K26" s="31" t="n">
        <f aca="false">IF(ISNUMBER(ورودی!K26),IF(ورودی!K26&gt;0,ورودی!K26,1/ABS(ورودی!K26)),"")</f>
        <v>1</v>
      </c>
      <c r="L26" s="31" t="n">
        <f aca="false">IF(ISNUMBER(ورودی!L26),IF(ورودی!L26&gt;0,ورودی!L26,1/ABS(ورودی!L26)),"")</f>
        <v>0.5</v>
      </c>
      <c r="M26" s="31" t="n">
        <f aca="false">IF(ISNUMBER(ورودی!M26),IF(ورودی!M26&gt;0,ورودی!M26,1/ABS(ورودی!M26)),"")</f>
        <v>0.5</v>
      </c>
      <c r="N26" s="41" t="n">
        <f aca="false">IFERROR(GEOMEAN(G26:M26),"")</f>
        <v>0.672950096316178</v>
      </c>
      <c r="O26" s="29" t="n">
        <f aca="false">COUNT(G26:M26)</f>
        <v>7</v>
      </c>
    </row>
    <row r="27" customFormat="false" ht="27" hidden="false" customHeight="true" outlineLevel="0" collapsed="false">
      <c r="A27" s="29" t="n">
        <f aca="false">ورودی!A27</f>
        <v>19</v>
      </c>
      <c r="B27" s="12" t="str">
        <f aca="false">ورودی!B27</f>
        <v>الف</v>
      </c>
      <c r="C27" s="12" t="str">
        <f aca="false">ورودی!C27</f>
        <v>م۳</v>
      </c>
      <c r="D27" s="9" t="str">
        <f aca="false">ورودی!D27</f>
        <v>دشواری جذب و حفظ مشتری و وفاداری پایین</v>
      </c>
      <c r="E27" s="12" t="str">
        <f aca="false">ورودی!E27</f>
        <v>م۷</v>
      </c>
      <c r="F27" s="9" t="str">
        <f aca="false">ورودی!F27</f>
        <v>تغییر ذائقه مصرف‌کننده و محدودیت بازار هدف</v>
      </c>
      <c r="G27" s="31" t="n">
        <f aca="false">IF(ISNUMBER(ورودی!G27),IF(ورودی!G27&gt;0,ورودی!G27,1/ABS(ورودی!G27)),"")</f>
        <v>0.5</v>
      </c>
      <c r="H27" s="31" t="n">
        <f aca="false">IF(ISNUMBER(ورودی!H27),IF(ورودی!H27&gt;0,ورودی!H27,1/ABS(ورودی!H27)),"")</f>
        <v>0.5</v>
      </c>
      <c r="I27" s="31" t="n">
        <f aca="false">IF(ISNUMBER(ورودی!I27),IF(ورودی!I27&gt;0,ورودی!I27,1/ABS(ورودی!I27)),"")</f>
        <v>0.5</v>
      </c>
      <c r="J27" s="31" t="n">
        <f aca="false">IF(ISNUMBER(ورودی!J27),IF(ورودی!J27&gt;0,ورودی!J27,1/ABS(ورودی!J27)),"")</f>
        <v>0.5</v>
      </c>
      <c r="K27" s="31" t="n">
        <f aca="false">IF(ISNUMBER(ورودی!K27),IF(ورودی!K27&gt;0,ورودی!K27,1/ABS(ورودی!K27)),"")</f>
        <v>1</v>
      </c>
      <c r="L27" s="31" t="n">
        <f aca="false">IF(ISNUMBER(ورودی!L27),IF(ورودی!L27&gt;0,ورودی!L27,1/ABS(ورودی!L27)),"")</f>
        <v>0.5</v>
      </c>
      <c r="M27" s="31" t="n">
        <f aca="false">IF(ISNUMBER(ورودی!M27),IF(ورودی!M27&gt;0,ورودی!M27,1/ABS(ورودی!M27)),"")</f>
        <v>1</v>
      </c>
      <c r="N27" s="41" t="n">
        <f aca="false">IFERROR(GEOMEAN(G27:M27),"")</f>
        <v>0.609506827102238</v>
      </c>
      <c r="O27" s="29" t="n">
        <f aca="false">COUNT(G27:M27)</f>
        <v>7</v>
      </c>
    </row>
    <row r="28" customFormat="false" ht="27" hidden="false" customHeight="true" outlineLevel="0" collapsed="false">
      <c r="A28" s="29" t="n">
        <f aca="false">ورودی!A28</f>
        <v>20</v>
      </c>
      <c r="B28" s="12" t="str">
        <f aca="false">ورودی!B28</f>
        <v>الف</v>
      </c>
      <c r="C28" s="12" t="str">
        <f aca="false">ورودی!C28</f>
        <v>م۳</v>
      </c>
      <c r="D28" s="9" t="str">
        <f aca="false">ورودی!D28</f>
        <v>دشواری جذب و حفظ مشتری و وفاداری پایین</v>
      </c>
      <c r="E28" s="12" t="str">
        <f aca="false">ورودی!E28</f>
        <v>م۸</v>
      </c>
      <c r="F28" s="9" t="str">
        <f aca="false">ورودی!F28</f>
        <v>ناپایداری تأمین و نوسان بهای مواد اولیه</v>
      </c>
      <c r="G28" s="31" t="n">
        <f aca="false">IF(ISNUMBER(ورودی!G28),IF(ورودی!G28&gt;0,ورودی!G28,1/ABS(ورودی!G28)),"")</f>
        <v>0.5</v>
      </c>
      <c r="H28" s="31" t="n">
        <f aca="false">IF(ISNUMBER(ورودی!H28),IF(ورودی!H28&gt;0,ورودی!H28,1/ABS(ورودی!H28)),"")</f>
        <v>1</v>
      </c>
      <c r="I28" s="31" t="n">
        <f aca="false">IF(ISNUMBER(ورودی!I28),IF(ورودی!I28&gt;0,ورودی!I28,1/ABS(ورودی!I28)),"")</f>
        <v>1</v>
      </c>
      <c r="J28" s="31" t="n">
        <f aca="false">IF(ISNUMBER(ورودی!J28),IF(ورودی!J28&gt;0,ورودی!J28,1/ABS(ورودی!J28)),"")</f>
        <v>0.5</v>
      </c>
      <c r="K28" s="31" t="n">
        <f aca="false">IF(ISNUMBER(ورودی!K28),IF(ورودی!K28&gt;0,ورودی!K28,1/ABS(ورودی!K28)),"")</f>
        <v>1</v>
      </c>
      <c r="L28" s="31" t="n">
        <f aca="false">IF(ISNUMBER(ورودی!L28),IF(ورودی!L28&gt;0,ورودی!L28,1/ABS(ورودی!L28)),"")</f>
        <v>1</v>
      </c>
      <c r="M28" s="31" t="n">
        <f aca="false">IF(ISNUMBER(ورودی!M28),IF(ورودی!M28&gt;0,ورودی!M28,1/ABS(ورودی!M28)),"")</f>
        <v>0.5</v>
      </c>
      <c r="N28" s="41" t="n">
        <f aca="false">IFERROR(GEOMEAN(G28:M28),"")</f>
        <v>0.742997144568474</v>
      </c>
      <c r="O28" s="29" t="n">
        <f aca="false">COUNT(G28:M28)</f>
        <v>7</v>
      </c>
    </row>
    <row r="29" customFormat="false" ht="27" hidden="false" customHeight="true" outlineLevel="0" collapsed="false">
      <c r="A29" s="29" t="n">
        <f aca="false">ورودی!A29</f>
        <v>21</v>
      </c>
      <c r="B29" s="12" t="str">
        <f aca="false">ورودی!B29</f>
        <v>الف</v>
      </c>
      <c r="C29" s="12" t="str">
        <f aca="false">ورودی!C29</f>
        <v>م۳</v>
      </c>
      <c r="D29" s="9" t="str">
        <f aca="false">ورودی!D29</f>
        <v>دشواری جذب و حفظ مشتری و وفاداری پایین</v>
      </c>
      <c r="E29" s="12" t="str">
        <f aca="false">ورودی!E29</f>
        <v>م۹</v>
      </c>
      <c r="F29" s="9" t="str">
        <f aca="false">ورودی!F29</f>
        <v>فشارهای اقتصاد کلان و کاهش قدرت خرید</v>
      </c>
      <c r="G29" s="31" t="n">
        <f aca="false">IF(ISNUMBER(ورودی!G29),IF(ورودی!G29&gt;0,ورودی!G29,1/ABS(ورودی!G29)),"")</f>
        <v>0.5</v>
      </c>
      <c r="H29" s="31" t="n">
        <f aca="false">IF(ISNUMBER(ورودی!H29),IF(ورودی!H29&gt;0,ورودی!H29,1/ABS(ورودی!H29)),"")</f>
        <v>0.5</v>
      </c>
      <c r="I29" s="31" t="n">
        <f aca="false">IF(ISNUMBER(ورودی!I29),IF(ورودی!I29&gt;0,ورودی!I29,1/ABS(ورودی!I29)),"")</f>
        <v>0.5</v>
      </c>
      <c r="J29" s="31" t="n">
        <f aca="false">IF(ISNUMBER(ورودی!J29),IF(ورودی!J29&gt;0,ورودی!J29,1/ABS(ورودی!J29)),"")</f>
        <v>0.5</v>
      </c>
      <c r="K29" s="31" t="n">
        <f aca="false">IF(ISNUMBER(ورودی!K29),IF(ورودی!K29&gt;0,ورودی!K29,1/ABS(ورودی!K29)),"")</f>
        <v>0.5</v>
      </c>
      <c r="L29" s="31" t="n">
        <f aca="false">IF(ISNUMBER(ورودی!L29),IF(ورودی!L29&gt;0,ورودی!L29,1/ABS(ورودی!L29)),"")</f>
        <v>0.5</v>
      </c>
      <c r="M29" s="31" t="n">
        <f aca="false">IF(ISNUMBER(ورودی!M29),IF(ورودی!M29&gt;0,ورودی!M29,1/ABS(ورودی!M29)),"")</f>
        <v>0.5</v>
      </c>
      <c r="N29" s="41" t="n">
        <f aca="false">IFERROR(GEOMEAN(G29:M29),"")</f>
        <v>0.5</v>
      </c>
      <c r="O29" s="29" t="n">
        <f aca="false">COUNT(G29:M29)</f>
        <v>7</v>
      </c>
    </row>
    <row r="30" customFormat="false" ht="27" hidden="false" customHeight="true" outlineLevel="0" collapsed="false">
      <c r="A30" s="29" t="n">
        <f aca="false">ورودی!A30</f>
        <v>22</v>
      </c>
      <c r="B30" s="12" t="str">
        <f aca="false">ورودی!B30</f>
        <v>الف</v>
      </c>
      <c r="C30" s="12" t="str">
        <f aca="false">ورودی!C30</f>
        <v>م۴</v>
      </c>
      <c r="D30" s="9" t="str">
        <f aca="false">ورودی!D30</f>
        <v>ضعف در برنامه‌ریزی، پیش‌بینی و مدیریت فروش</v>
      </c>
      <c r="E30" s="12" t="str">
        <f aca="false">ورودی!E30</f>
        <v>م۵</v>
      </c>
      <c r="F30" s="9" t="str">
        <f aca="false">ورودی!F30</f>
        <v>ناکارآمدی و هزینه‌بری شبکه توزیع و فروش</v>
      </c>
      <c r="G30" s="31" t="n">
        <f aca="false">IF(ISNUMBER(ورودی!G30),IF(ورودی!G30&gt;0,ورودی!G30,1/ABS(ورودی!G30)),"")</f>
        <v>1</v>
      </c>
      <c r="H30" s="31" t="n">
        <f aca="false">IF(ISNUMBER(ورودی!H30),IF(ورودی!H30&gt;0,ورودی!H30,1/ABS(ورودی!H30)),"")</f>
        <v>1</v>
      </c>
      <c r="I30" s="31" t="n">
        <f aca="false">IF(ISNUMBER(ورودی!I30),IF(ورودی!I30&gt;0,ورودی!I30,1/ABS(ورودی!I30)),"")</f>
        <v>0.5</v>
      </c>
      <c r="J30" s="31" t="n">
        <f aca="false">IF(ISNUMBER(ورودی!J30),IF(ورودی!J30&gt;0,ورودی!J30,1/ABS(ورودی!J30)),"")</f>
        <v>1</v>
      </c>
      <c r="K30" s="31" t="n">
        <f aca="false">IF(ISNUMBER(ورودی!K30),IF(ورودی!K30&gt;0,ورودی!K30,1/ABS(ورودی!K30)),"")</f>
        <v>0.5</v>
      </c>
      <c r="L30" s="31" t="n">
        <f aca="false">IF(ISNUMBER(ورودی!L30),IF(ورودی!L30&gt;0,ورودی!L30,1/ABS(ورودی!L30)),"")</f>
        <v>1</v>
      </c>
      <c r="M30" s="31" t="n">
        <f aca="false">IF(ISNUMBER(ورودی!M30),IF(ورودی!M30&gt;0,ورودی!M30,1/ABS(ورودی!M30)),"")</f>
        <v>0.5</v>
      </c>
      <c r="N30" s="41" t="n">
        <f aca="false">IFERROR(GEOMEAN(G30:M30),"")</f>
        <v>0.742997144568474</v>
      </c>
      <c r="O30" s="29" t="n">
        <f aca="false">COUNT(G30:M30)</f>
        <v>7</v>
      </c>
    </row>
    <row r="31" customFormat="false" ht="27" hidden="false" customHeight="true" outlineLevel="0" collapsed="false">
      <c r="A31" s="29" t="n">
        <f aca="false">ورودی!A31</f>
        <v>23</v>
      </c>
      <c r="B31" s="12" t="str">
        <f aca="false">ورودی!B31</f>
        <v>الف</v>
      </c>
      <c r="C31" s="12" t="str">
        <f aca="false">ورودی!C31</f>
        <v>م۴</v>
      </c>
      <c r="D31" s="9" t="str">
        <f aca="false">ورودی!D31</f>
        <v>ضعف در برنامه‌ریزی، پیش‌بینی و مدیریت فروش</v>
      </c>
      <c r="E31" s="12" t="str">
        <f aca="false">ورودی!E31</f>
        <v>م۶</v>
      </c>
      <c r="F31" s="9" t="str">
        <f aca="false">ورودی!F31</f>
        <v>شدت رقابت و فشار قیمتی بازار</v>
      </c>
      <c r="G31" s="31" t="n">
        <f aca="false">IF(ISNUMBER(ورودی!G31),IF(ورودی!G31&gt;0,ورودی!G31,1/ABS(ورودی!G31)),"")</f>
        <v>0.5</v>
      </c>
      <c r="H31" s="31" t="n">
        <f aca="false">IF(ISNUMBER(ورودی!H31),IF(ورودی!H31&gt;0,ورودی!H31,1/ABS(ورودی!H31)),"")</f>
        <v>0.5</v>
      </c>
      <c r="I31" s="31" t="n">
        <f aca="false">IF(ISNUMBER(ورودی!I31),IF(ورودی!I31&gt;0,ورودی!I31,1/ABS(ورودی!I31)),"")</f>
        <v>0.5</v>
      </c>
      <c r="J31" s="31" t="n">
        <f aca="false">IF(ISNUMBER(ورودی!J31),IF(ورودی!J31&gt;0,ورودی!J31,1/ABS(ورودی!J31)),"")</f>
        <v>0.5</v>
      </c>
      <c r="K31" s="31" t="n">
        <f aca="false">IF(ISNUMBER(ورودی!K31),IF(ورودی!K31&gt;0,ورودی!K31,1/ABS(ورودی!K31)),"")</f>
        <v>0.5</v>
      </c>
      <c r="L31" s="31" t="n">
        <f aca="false">IF(ISNUMBER(ورودی!L31),IF(ورودی!L31&gt;0,ورودی!L31,1/ABS(ورودی!L31)),"")</f>
        <v>1</v>
      </c>
      <c r="M31" s="31" t="n">
        <f aca="false">IF(ISNUMBER(ورودی!M31),IF(ورودی!M31&gt;0,ورودی!M31,1/ABS(ورودی!M31)),"")</f>
        <v>0.5</v>
      </c>
      <c r="N31" s="41" t="n">
        <f aca="false">IFERROR(GEOMEAN(G31:M31),"")</f>
        <v>0.552044756836906</v>
      </c>
      <c r="O31" s="29" t="n">
        <f aca="false">COUNT(G31:M31)</f>
        <v>7</v>
      </c>
    </row>
    <row r="32" customFormat="false" ht="27" hidden="false" customHeight="true" outlineLevel="0" collapsed="false">
      <c r="A32" s="29" t="n">
        <f aca="false">ورودی!A32</f>
        <v>24</v>
      </c>
      <c r="B32" s="12" t="str">
        <f aca="false">ورودی!B32</f>
        <v>الف</v>
      </c>
      <c r="C32" s="12" t="str">
        <f aca="false">ورودی!C32</f>
        <v>م۴</v>
      </c>
      <c r="D32" s="9" t="str">
        <f aca="false">ورودی!D32</f>
        <v>ضعف در برنامه‌ریزی، پیش‌بینی و مدیریت فروش</v>
      </c>
      <c r="E32" s="12" t="str">
        <f aca="false">ورودی!E32</f>
        <v>م۷</v>
      </c>
      <c r="F32" s="9" t="str">
        <f aca="false">ورودی!F32</f>
        <v>تغییر ذائقه مصرف‌کننده و محدودیت بازار هدف</v>
      </c>
      <c r="G32" s="31" t="n">
        <f aca="false">IF(ISNUMBER(ورودی!G32),IF(ورودی!G32&gt;0,ورودی!G32,1/ABS(ورودی!G32)),"")</f>
        <v>0.5</v>
      </c>
      <c r="H32" s="31" t="n">
        <f aca="false">IF(ISNUMBER(ورودی!H32),IF(ورودی!H32&gt;0,ورودی!H32,1/ABS(ورودی!H32)),"")</f>
        <v>0.5</v>
      </c>
      <c r="I32" s="31" t="n">
        <f aca="false">IF(ISNUMBER(ورودی!I32),IF(ورودی!I32&gt;0,ورودی!I32,1/ABS(ورودی!I32)),"")</f>
        <v>0.5</v>
      </c>
      <c r="J32" s="31" t="n">
        <f aca="false">IF(ISNUMBER(ورودی!J32),IF(ورودی!J32&gt;0,ورودی!J32,1/ABS(ورودی!J32)),"")</f>
        <v>0.5</v>
      </c>
      <c r="K32" s="31" t="n">
        <f aca="false">IF(ISNUMBER(ورودی!K32),IF(ورودی!K32&gt;0,ورودی!K32,1/ABS(ورودی!K32)),"")</f>
        <v>1</v>
      </c>
      <c r="L32" s="31" t="n">
        <f aca="false">IF(ISNUMBER(ورودی!L32),IF(ورودی!L32&gt;0,ورودی!L32,1/ABS(ورودی!L32)),"")</f>
        <v>1</v>
      </c>
      <c r="M32" s="31" t="n">
        <f aca="false">IF(ISNUMBER(ورودی!M32),IF(ورودی!M32&gt;0,ورودی!M32,1/ABS(ورودی!M32)),"")</f>
        <v>1</v>
      </c>
      <c r="N32" s="41" t="n">
        <f aca="false">IFERROR(GEOMEAN(G32:M32),"")</f>
        <v>0.672950096316178</v>
      </c>
      <c r="O32" s="29" t="n">
        <f aca="false">COUNT(G32:M32)</f>
        <v>7</v>
      </c>
    </row>
    <row r="33" customFormat="false" ht="27" hidden="false" customHeight="true" outlineLevel="0" collapsed="false">
      <c r="A33" s="29" t="n">
        <f aca="false">ورودی!A33</f>
        <v>25</v>
      </c>
      <c r="B33" s="12" t="str">
        <f aca="false">ورودی!B33</f>
        <v>الف</v>
      </c>
      <c r="C33" s="12" t="str">
        <f aca="false">ورودی!C33</f>
        <v>م۴</v>
      </c>
      <c r="D33" s="9" t="str">
        <f aca="false">ورودی!D33</f>
        <v>ضعف در برنامه‌ریزی، پیش‌بینی و مدیریت فروش</v>
      </c>
      <c r="E33" s="12" t="str">
        <f aca="false">ورودی!E33</f>
        <v>م۸</v>
      </c>
      <c r="F33" s="9" t="str">
        <f aca="false">ورودی!F33</f>
        <v>ناپایداری تأمین و نوسان بهای مواد اولیه</v>
      </c>
      <c r="G33" s="31" t="n">
        <f aca="false">IF(ISNUMBER(ورودی!G33),IF(ورودی!G33&gt;0,ورودی!G33,1/ABS(ورودی!G33)),"")</f>
        <v>0.5</v>
      </c>
      <c r="H33" s="31" t="n">
        <f aca="false">IF(ISNUMBER(ورودی!H33),IF(ورودی!H33&gt;0,ورودی!H33,1/ABS(ورودی!H33)),"")</f>
        <v>0.5</v>
      </c>
      <c r="I33" s="31" t="n">
        <f aca="false">IF(ISNUMBER(ورودی!I33),IF(ورودی!I33&gt;0,ورودی!I33,1/ABS(ورودی!I33)),"")</f>
        <v>1</v>
      </c>
      <c r="J33" s="31" t="n">
        <f aca="false">IF(ISNUMBER(ورودی!J33),IF(ورودی!J33&gt;0,ورودی!J33,1/ABS(ورودی!J33)),"")</f>
        <v>0.5</v>
      </c>
      <c r="K33" s="31" t="n">
        <f aca="false">IF(ISNUMBER(ورودی!K33),IF(ورودی!K33&gt;0,ورودی!K33,1/ABS(ورودی!K33)),"")</f>
        <v>1</v>
      </c>
      <c r="L33" s="31" t="n">
        <f aca="false">IF(ISNUMBER(ورودی!L33),IF(ورودی!L33&gt;0,ورودی!L33,1/ABS(ورودی!L33)),"")</f>
        <v>1</v>
      </c>
      <c r="M33" s="31" t="n">
        <f aca="false">IF(ISNUMBER(ورودی!M33),IF(ورودی!M33&gt;0,ورودی!M33,1/ABS(ورودی!M33)),"")</f>
        <v>0.5</v>
      </c>
      <c r="N33" s="41" t="n">
        <f aca="false">IFERROR(GEOMEAN(G33:M33),"")</f>
        <v>0.672950096316178</v>
      </c>
      <c r="O33" s="29" t="n">
        <f aca="false">COUNT(G33:M33)</f>
        <v>7</v>
      </c>
    </row>
    <row r="34" customFormat="false" ht="27" hidden="false" customHeight="true" outlineLevel="0" collapsed="false">
      <c r="A34" s="29" t="n">
        <f aca="false">ورودی!A34</f>
        <v>26</v>
      </c>
      <c r="B34" s="12" t="str">
        <f aca="false">ورودی!B34</f>
        <v>الف</v>
      </c>
      <c r="C34" s="12" t="str">
        <f aca="false">ورودی!C34</f>
        <v>م۴</v>
      </c>
      <c r="D34" s="9" t="str">
        <f aca="false">ورودی!D34</f>
        <v>ضعف در برنامه‌ریزی، پیش‌بینی و مدیریت فروش</v>
      </c>
      <c r="E34" s="12" t="str">
        <f aca="false">ورودی!E34</f>
        <v>م۹</v>
      </c>
      <c r="F34" s="9" t="str">
        <f aca="false">ورودی!F34</f>
        <v>فشارهای اقتصاد کلان و کاهش قدرت خرید</v>
      </c>
      <c r="G34" s="31" t="n">
        <f aca="false">IF(ISNUMBER(ورودی!G34),IF(ورودی!G34&gt;0,ورودی!G34,1/ABS(ورودی!G34)),"")</f>
        <v>0.5</v>
      </c>
      <c r="H34" s="31" t="n">
        <f aca="false">IF(ISNUMBER(ورودی!H34),IF(ورودی!H34&gt;0,ورودی!H34,1/ABS(ورودی!H34)),"")</f>
        <v>0.5</v>
      </c>
      <c r="I34" s="31" t="n">
        <f aca="false">IF(ISNUMBER(ورودی!I34),IF(ورودی!I34&gt;0,ورودی!I34,1/ABS(ورودی!I34)),"")</f>
        <v>0.5</v>
      </c>
      <c r="J34" s="31" t="n">
        <f aca="false">IF(ISNUMBER(ورودی!J34),IF(ورودی!J34&gt;0,ورودی!J34,1/ABS(ورودی!J34)),"")</f>
        <v>0.5</v>
      </c>
      <c r="K34" s="31" t="n">
        <f aca="false">IF(ISNUMBER(ورودی!K34),IF(ورودی!K34&gt;0,ورودی!K34,1/ABS(ورودی!K34)),"")</f>
        <v>0.5</v>
      </c>
      <c r="L34" s="31" t="n">
        <f aca="false">IF(ISNUMBER(ورودی!L34),IF(ورودی!L34&gt;0,ورودی!L34,1/ABS(ورودی!L34)),"")</f>
        <v>0.5</v>
      </c>
      <c r="M34" s="31" t="n">
        <f aca="false">IF(ISNUMBER(ورودی!M34),IF(ورودی!M34&gt;0,ورودی!M34,1/ABS(ورودی!M34)),"")</f>
        <v>0.5</v>
      </c>
      <c r="N34" s="41" t="n">
        <f aca="false">IFERROR(GEOMEAN(G34:M34),"")</f>
        <v>0.5</v>
      </c>
      <c r="O34" s="29" t="n">
        <f aca="false">COUNT(G34:M34)</f>
        <v>7</v>
      </c>
    </row>
    <row r="35" customFormat="false" ht="27" hidden="false" customHeight="true" outlineLevel="0" collapsed="false">
      <c r="A35" s="29" t="n">
        <f aca="false">ورودی!A35</f>
        <v>27</v>
      </c>
      <c r="B35" s="12" t="str">
        <f aca="false">ورودی!B35</f>
        <v>الف</v>
      </c>
      <c r="C35" s="12" t="str">
        <f aca="false">ورودی!C35</f>
        <v>م۵</v>
      </c>
      <c r="D35" s="9" t="str">
        <f aca="false">ورودی!D35</f>
        <v>ناکارآمدی و هزینه‌بری شبکه توزیع و فروش</v>
      </c>
      <c r="E35" s="12" t="str">
        <f aca="false">ورودی!E35</f>
        <v>م۶</v>
      </c>
      <c r="F35" s="9" t="str">
        <f aca="false">ورودی!F35</f>
        <v>شدت رقابت و فشار قیمتی بازار</v>
      </c>
      <c r="G35" s="31" t="n">
        <f aca="false">IF(ISNUMBER(ورودی!G35),IF(ورودی!G35&gt;0,ورودی!G35,1/ABS(ورودی!G35)),"")</f>
        <v>1</v>
      </c>
      <c r="H35" s="31" t="n">
        <f aca="false">IF(ISNUMBER(ورودی!H35),IF(ورودی!H35&gt;0,ورودی!H35,1/ABS(ورودی!H35)),"")</f>
        <v>1</v>
      </c>
      <c r="I35" s="31" t="n">
        <f aca="false">IF(ISNUMBER(ورودی!I35),IF(ورودی!I35&gt;0,ورودی!I35,1/ABS(ورودی!I35)),"")</f>
        <v>1</v>
      </c>
      <c r="J35" s="31" t="n">
        <f aca="false">IF(ISNUMBER(ورودی!J35),IF(ورودی!J35&gt;0,ورودی!J35,1/ABS(ورودی!J35)),"")</f>
        <v>1</v>
      </c>
      <c r="K35" s="31" t="n">
        <f aca="false">IF(ISNUMBER(ورودی!K35),IF(ورودی!K35&gt;0,ورودی!K35,1/ABS(ورودی!K35)),"")</f>
        <v>1</v>
      </c>
      <c r="L35" s="31" t="n">
        <f aca="false">IF(ISNUMBER(ورودی!L35),IF(ورودی!L35&gt;0,ورودی!L35,1/ABS(ورودی!L35)),"")</f>
        <v>1</v>
      </c>
      <c r="M35" s="31" t="n">
        <f aca="false">IF(ISNUMBER(ورودی!M35),IF(ورودی!M35&gt;0,ورودی!M35,1/ABS(ورودی!M35)),"")</f>
        <v>1</v>
      </c>
      <c r="N35" s="41" t="n">
        <f aca="false">IFERROR(GEOMEAN(G35:M35),"")</f>
        <v>1</v>
      </c>
      <c r="O35" s="29" t="n">
        <f aca="false">COUNT(G35:M35)</f>
        <v>7</v>
      </c>
    </row>
    <row r="36" customFormat="false" ht="27" hidden="false" customHeight="true" outlineLevel="0" collapsed="false">
      <c r="A36" s="29" t="n">
        <f aca="false">ورودی!A36</f>
        <v>28</v>
      </c>
      <c r="B36" s="12" t="str">
        <f aca="false">ورودی!B36</f>
        <v>الف</v>
      </c>
      <c r="C36" s="12" t="str">
        <f aca="false">ورودی!C36</f>
        <v>م۵</v>
      </c>
      <c r="D36" s="9" t="str">
        <f aca="false">ورودی!D36</f>
        <v>ناکارآمدی و هزینه‌بری شبکه توزیع و فروش</v>
      </c>
      <c r="E36" s="12" t="str">
        <f aca="false">ورودی!E36</f>
        <v>م۷</v>
      </c>
      <c r="F36" s="9" t="str">
        <f aca="false">ورودی!F36</f>
        <v>تغییر ذائقه مصرف‌کننده و محدودیت بازار هدف</v>
      </c>
      <c r="G36" s="31" t="n">
        <f aca="false">IF(ISNUMBER(ورودی!G36),IF(ورودی!G36&gt;0,ورودی!G36,1/ABS(ورودی!G36)),"")</f>
        <v>0.5</v>
      </c>
      <c r="H36" s="31" t="n">
        <f aca="false">IF(ISNUMBER(ورودی!H36),IF(ورودی!H36&gt;0,ورودی!H36,1/ABS(ورودی!H36)),"")</f>
        <v>0.5</v>
      </c>
      <c r="I36" s="31" t="n">
        <f aca="false">IF(ISNUMBER(ورودی!I36),IF(ورودی!I36&gt;0,ورودی!I36,1/ABS(ورودی!I36)),"")</f>
        <v>1</v>
      </c>
      <c r="J36" s="31" t="n">
        <f aca="false">IF(ISNUMBER(ورودی!J36),IF(ورودی!J36&gt;0,ورودی!J36,1/ABS(ورودی!J36)),"")</f>
        <v>0.5</v>
      </c>
      <c r="K36" s="31" t="n">
        <f aca="false">IF(ISNUMBER(ورودی!K36),IF(ورودی!K36&gt;0,ورودی!K36,1/ABS(ورودی!K36)),"")</f>
        <v>1</v>
      </c>
      <c r="L36" s="31" t="n">
        <f aca="false">IF(ISNUMBER(ورودی!L36),IF(ورودی!L36&gt;0,ورودی!L36,1/ABS(ورودی!L36)),"")</f>
        <v>1</v>
      </c>
      <c r="M36" s="31" t="n">
        <f aca="false">IF(ISNUMBER(ورودی!M36),IF(ورودی!M36&gt;0,ورودی!M36,1/ABS(ورودی!M36)),"")</f>
        <v>1</v>
      </c>
      <c r="N36" s="41" t="n">
        <f aca="false">IFERROR(GEOMEAN(G36:M36),"")</f>
        <v>0.742997144568474</v>
      </c>
      <c r="O36" s="29" t="n">
        <f aca="false">COUNT(G36:M36)</f>
        <v>7</v>
      </c>
    </row>
    <row r="37" customFormat="false" ht="27" hidden="false" customHeight="true" outlineLevel="0" collapsed="false">
      <c r="A37" s="29" t="n">
        <f aca="false">ورودی!A37</f>
        <v>29</v>
      </c>
      <c r="B37" s="12" t="str">
        <f aca="false">ورودی!B37</f>
        <v>الف</v>
      </c>
      <c r="C37" s="12" t="str">
        <f aca="false">ورودی!C37</f>
        <v>م۵</v>
      </c>
      <c r="D37" s="9" t="str">
        <f aca="false">ورودی!D37</f>
        <v>ناکارآمدی و هزینه‌بری شبکه توزیع و فروش</v>
      </c>
      <c r="E37" s="12" t="str">
        <f aca="false">ورودی!E37</f>
        <v>م۸</v>
      </c>
      <c r="F37" s="9" t="str">
        <f aca="false">ورودی!F37</f>
        <v>ناپایداری تأمین و نوسان بهای مواد اولیه</v>
      </c>
      <c r="G37" s="31" t="n">
        <f aca="false">IF(ISNUMBER(ورودی!G37),IF(ورودی!G37&gt;0,ورودی!G37,1/ABS(ورودی!G37)),"")</f>
        <v>1</v>
      </c>
      <c r="H37" s="31" t="n">
        <f aca="false">IF(ISNUMBER(ورودی!H37),IF(ورودی!H37&gt;0,ورودی!H37,1/ABS(ورودی!H37)),"")</f>
        <v>1</v>
      </c>
      <c r="I37" s="31" t="n">
        <f aca="false">IF(ISNUMBER(ورودی!I37),IF(ورودی!I37&gt;0,ورودی!I37,1/ABS(ورودی!I37)),"")</f>
        <v>1</v>
      </c>
      <c r="J37" s="31" t="n">
        <f aca="false">IF(ISNUMBER(ورودی!J37),IF(ورودی!J37&gt;0,ورودی!J37,1/ABS(ورودی!J37)),"")</f>
        <v>1</v>
      </c>
      <c r="K37" s="31" t="n">
        <f aca="false">IF(ISNUMBER(ورودی!K37),IF(ورودی!K37&gt;0,ورودی!K37,1/ABS(ورودی!K37)),"")</f>
        <v>1</v>
      </c>
      <c r="L37" s="31" t="n">
        <f aca="false">IF(ISNUMBER(ورودی!L37),IF(ورودی!L37&gt;0,ورودی!L37,1/ABS(ورودی!L37)),"")</f>
        <v>1</v>
      </c>
      <c r="M37" s="31" t="n">
        <f aca="false">IF(ISNUMBER(ورودی!M37),IF(ورودی!M37&gt;0,ورودی!M37,1/ABS(ورودی!M37)),"")</f>
        <v>1</v>
      </c>
      <c r="N37" s="41" t="n">
        <f aca="false">IFERROR(GEOMEAN(G37:M37),"")</f>
        <v>1</v>
      </c>
      <c r="O37" s="29" t="n">
        <f aca="false">COUNT(G37:M37)</f>
        <v>7</v>
      </c>
    </row>
    <row r="38" customFormat="false" ht="27" hidden="false" customHeight="true" outlineLevel="0" collapsed="false">
      <c r="A38" s="29" t="n">
        <f aca="false">ورودی!A38</f>
        <v>30</v>
      </c>
      <c r="B38" s="12" t="str">
        <f aca="false">ورودی!B38</f>
        <v>الف</v>
      </c>
      <c r="C38" s="12" t="str">
        <f aca="false">ورودی!C38</f>
        <v>م۵</v>
      </c>
      <c r="D38" s="9" t="str">
        <f aca="false">ورودی!D38</f>
        <v>ناکارآمدی و هزینه‌بری شبکه توزیع و فروش</v>
      </c>
      <c r="E38" s="12" t="str">
        <f aca="false">ورودی!E38</f>
        <v>م۹</v>
      </c>
      <c r="F38" s="9" t="str">
        <f aca="false">ورودی!F38</f>
        <v>فشارهای اقتصاد کلان و کاهش قدرت خرید</v>
      </c>
      <c r="G38" s="31" t="n">
        <f aca="false">IF(ISNUMBER(ورودی!G38),IF(ورودی!G38&gt;0,ورودی!G38,1/ABS(ورودی!G38)),"")</f>
        <v>0.5</v>
      </c>
      <c r="H38" s="31" t="n">
        <f aca="false">IF(ISNUMBER(ورودی!H38),IF(ورودی!H38&gt;0,ورودی!H38,1/ABS(ورودی!H38)),"")</f>
        <v>0.5</v>
      </c>
      <c r="I38" s="31" t="n">
        <f aca="false">IF(ISNUMBER(ورودی!I38),IF(ورودی!I38&gt;0,ورودی!I38,1/ABS(ورودی!I38)),"")</f>
        <v>1</v>
      </c>
      <c r="J38" s="31" t="n">
        <f aca="false">IF(ISNUMBER(ورودی!J38),IF(ورودی!J38&gt;0,ورودی!J38,1/ABS(ورودی!J38)),"")</f>
        <v>0.5</v>
      </c>
      <c r="K38" s="31" t="n">
        <f aca="false">IF(ISNUMBER(ورودی!K38),IF(ورودی!K38&gt;0,ورودی!K38,1/ABS(ورودی!K38)),"")</f>
        <v>1</v>
      </c>
      <c r="L38" s="31" t="n">
        <f aca="false">IF(ISNUMBER(ورودی!L38),IF(ورودی!L38&gt;0,ورودی!L38,1/ABS(ورودی!L38)),"")</f>
        <v>0.5</v>
      </c>
      <c r="M38" s="31" t="n">
        <f aca="false">IF(ISNUMBER(ورودی!M38),IF(ورودی!M38&gt;0,ورودی!M38,1/ABS(ورودی!M38)),"")</f>
        <v>1</v>
      </c>
      <c r="N38" s="41" t="n">
        <f aca="false">IFERROR(GEOMEAN(G38:M38),"")</f>
        <v>0.672950096316178</v>
      </c>
      <c r="O38" s="29" t="n">
        <f aca="false">COUNT(G38:M38)</f>
        <v>7</v>
      </c>
    </row>
    <row r="39" customFormat="false" ht="27" hidden="false" customHeight="true" outlineLevel="0" collapsed="false">
      <c r="A39" s="29" t="n">
        <f aca="false">ورودی!A39</f>
        <v>31</v>
      </c>
      <c r="B39" s="12" t="str">
        <f aca="false">ورودی!B39</f>
        <v>الف</v>
      </c>
      <c r="C39" s="12" t="str">
        <f aca="false">ورودی!C39</f>
        <v>م۶</v>
      </c>
      <c r="D39" s="9" t="str">
        <f aca="false">ورودی!D39</f>
        <v>شدت رقابت و فشار قیمتی بازار</v>
      </c>
      <c r="E39" s="12" t="str">
        <f aca="false">ورودی!E39</f>
        <v>م۷</v>
      </c>
      <c r="F39" s="9" t="str">
        <f aca="false">ورودی!F39</f>
        <v>تغییر ذائقه مصرف‌کننده و محدودیت بازار هدف</v>
      </c>
      <c r="G39" s="31" t="n">
        <f aca="false">IF(ISNUMBER(ورودی!G39),IF(ورودی!G39&gt;0,ورودی!G39,1/ABS(ورودی!G39)),"")</f>
        <v>1</v>
      </c>
      <c r="H39" s="31" t="n">
        <f aca="false">IF(ISNUMBER(ورودی!H39),IF(ورودی!H39&gt;0,ورودی!H39,1/ABS(ورودی!H39)),"")</f>
        <v>1</v>
      </c>
      <c r="I39" s="31" t="n">
        <f aca="false">IF(ISNUMBER(ورودی!I39),IF(ورودی!I39&gt;0,ورودی!I39,1/ABS(ورودی!I39)),"")</f>
        <v>1</v>
      </c>
      <c r="J39" s="31" t="n">
        <f aca="false">IF(ISNUMBER(ورودی!J39),IF(ورودی!J39&gt;0,ورودی!J39,1/ABS(ورودی!J39)),"")</f>
        <v>1</v>
      </c>
      <c r="K39" s="31" t="n">
        <f aca="false">IF(ISNUMBER(ورودی!K39),IF(ورودی!K39&gt;0,ورودی!K39,1/ABS(ورودی!K39)),"")</f>
        <v>1</v>
      </c>
      <c r="L39" s="31" t="n">
        <f aca="false">IF(ISNUMBER(ورودی!L39),IF(ورودی!L39&gt;0,ورودی!L39,1/ABS(ورودی!L39)),"")</f>
        <v>1</v>
      </c>
      <c r="M39" s="31" t="n">
        <f aca="false">IF(ISNUMBER(ورودی!M39),IF(ورودی!M39&gt;0,ورودی!M39,1/ABS(ورودی!M39)),"")</f>
        <v>1</v>
      </c>
      <c r="N39" s="41" t="n">
        <f aca="false">IFERROR(GEOMEAN(G39:M39),"")</f>
        <v>1</v>
      </c>
      <c r="O39" s="29" t="n">
        <f aca="false">COUNT(G39:M39)</f>
        <v>7</v>
      </c>
    </row>
    <row r="40" customFormat="false" ht="27" hidden="false" customHeight="true" outlineLevel="0" collapsed="false">
      <c r="A40" s="29" t="n">
        <f aca="false">ورودی!A40</f>
        <v>32</v>
      </c>
      <c r="B40" s="12" t="str">
        <f aca="false">ورودی!B40</f>
        <v>الف</v>
      </c>
      <c r="C40" s="12" t="str">
        <f aca="false">ورودی!C40</f>
        <v>م۶</v>
      </c>
      <c r="D40" s="9" t="str">
        <f aca="false">ورودی!D40</f>
        <v>شدت رقابت و فشار قیمتی بازار</v>
      </c>
      <c r="E40" s="12" t="str">
        <f aca="false">ورودی!E40</f>
        <v>م۸</v>
      </c>
      <c r="F40" s="9" t="str">
        <f aca="false">ورودی!F40</f>
        <v>ناپایداری تأمین و نوسان بهای مواد اولیه</v>
      </c>
      <c r="G40" s="31" t="n">
        <f aca="false">IF(ISNUMBER(ورودی!G40),IF(ورودی!G40&gt;0,ورودی!G40,1/ABS(ورودی!G40)),"")</f>
        <v>1</v>
      </c>
      <c r="H40" s="31" t="n">
        <f aca="false">IF(ISNUMBER(ورودی!H40),IF(ورودی!H40&gt;0,ورودی!H40,1/ABS(ورودی!H40)),"")</f>
        <v>1</v>
      </c>
      <c r="I40" s="31" t="n">
        <f aca="false">IF(ISNUMBER(ورودی!I40),IF(ورودی!I40&gt;0,ورودی!I40,1/ABS(ورودی!I40)),"")</f>
        <v>1</v>
      </c>
      <c r="J40" s="31" t="n">
        <f aca="false">IF(ISNUMBER(ورودی!J40),IF(ورودی!J40&gt;0,ورودی!J40,1/ABS(ورودی!J40)),"")</f>
        <v>1</v>
      </c>
      <c r="K40" s="31" t="n">
        <f aca="false">IF(ISNUMBER(ورودی!K40),IF(ورودی!K40&gt;0,ورودی!K40,1/ABS(ورودی!K40)),"")</f>
        <v>1</v>
      </c>
      <c r="L40" s="31" t="n">
        <f aca="false">IF(ISNUMBER(ورودی!L40),IF(ورودی!L40&gt;0,ورودی!L40,1/ABS(ورودی!L40)),"")</f>
        <v>1</v>
      </c>
      <c r="M40" s="31" t="n">
        <f aca="false">IF(ISNUMBER(ورودی!M40),IF(ورودی!M40&gt;0,ورودی!M40,1/ABS(ورودی!M40)),"")</f>
        <v>1</v>
      </c>
      <c r="N40" s="41" t="n">
        <f aca="false">IFERROR(GEOMEAN(G40:M40),"")</f>
        <v>1</v>
      </c>
      <c r="O40" s="29" t="n">
        <f aca="false">COUNT(G40:M40)</f>
        <v>7</v>
      </c>
    </row>
    <row r="41" customFormat="false" ht="27" hidden="false" customHeight="true" outlineLevel="0" collapsed="false">
      <c r="A41" s="29" t="n">
        <f aca="false">ورودی!A41</f>
        <v>33</v>
      </c>
      <c r="B41" s="12" t="str">
        <f aca="false">ورودی!B41</f>
        <v>الف</v>
      </c>
      <c r="C41" s="12" t="str">
        <f aca="false">ورودی!C41</f>
        <v>م۶</v>
      </c>
      <c r="D41" s="9" t="str">
        <f aca="false">ورودی!D41</f>
        <v>شدت رقابت و فشار قیمتی بازار</v>
      </c>
      <c r="E41" s="12" t="str">
        <f aca="false">ورودی!E41</f>
        <v>م۹</v>
      </c>
      <c r="F41" s="9" t="str">
        <f aca="false">ورودی!F41</f>
        <v>فشارهای اقتصاد کلان و کاهش قدرت خرید</v>
      </c>
      <c r="G41" s="31" t="n">
        <f aca="false">IF(ISNUMBER(ورودی!G41),IF(ورودی!G41&gt;0,ورودی!G41,1/ABS(ورودی!G41)),"")</f>
        <v>1</v>
      </c>
      <c r="H41" s="31" t="n">
        <f aca="false">IF(ISNUMBER(ورودی!H41),IF(ورودی!H41&gt;0,ورودی!H41,1/ABS(ورودی!H41)),"")</f>
        <v>1</v>
      </c>
      <c r="I41" s="31" t="n">
        <f aca="false">IF(ISNUMBER(ورودی!I41),IF(ورودی!I41&gt;0,ورودی!I41,1/ABS(ورودی!I41)),"")</f>
        <v>1</v>
      </c>
      <c r="J41" s="31" t="n">
        <f aca="false">IF(ISNUMBER(ورودی!J41),IF(ورودی!J41&gt;0,ورودی!J41,1/ABS(ورودی!J41)),"")</f>
        <v>1</v>
      </c>
      <c r="K41" s="31" t="n">
        <f aca="false">IF(ISNUMBER(ورودی!K41),IF(ورودی!K41&gt;0,ورودی!K41,1/ABS(ورودی!K41)),"")</f>
        <v>1</v>
      </c>
      <c r="L41" s="31" t="n">
        <f aca="false">IF(ISNUMBER(ورودی!L41),IF(ورودی!L41&gt;0,ورودی!L41,1/ABS(ورودی!L41)),"")</f>
        <v>1</v>
      </c>
      <c r="M41" s="31" t="n">
        <f aca="false">IF(ISNUMBER(ورودی!M41),IF(ورودی!M41&gt;0,ورودی!M41,1/ABS(ورودی!M41)),"")</f>
        <v>1</v>
      </c>
      <c r="N41" s="41" t="n">
        <f aca="false">IFERROR(GEOMEAN(G41:M41),"")</f>
        <v>1</v>
      </c>
      <c r="O41" s="29" t="n">
        <f aca="false">COUNT(G41:M41)</f>
        <v>7</v>
      </c>
    </row>
    <row r="42" customFormat="false" ht="27" hidden="false" customHeight="true" outlineLevel="0" collapsed="false">
      <c r="A42" s="29" t="n">
        <f aca="false">ورودی!A42</f>
        <v>34</v>
      </c>
      <c r="B42" s="12" t="str">
        <f aca="false">ورودی!B42</f>
        <v>الف</v>
      </c>
      <c r="C42" s="12" t="str">
        <f aca="false">ورودی!C42</f>
        <v>م۷</v>
      </c>
      <c r="D42" s="9" t="str">
        <f aca="false">ورودی!D42</f>
        <v>تغییر ذائقه مصرف‌کننده و محدودیت بازار هدف</v>
      </c>
      <c r="E42" s="12" t="str">
        <f aca="false">ورودی!E42</f>
        <v>م۸</v>
      </c>
      <c r="F42" s="9" t="str">
        <f aca="false">ورودی!F42</f>
        <v>ناپایداری تأمین و نوسان بهای مواد اولیه</v>
      </c>
      <c r="G42" s="31" t="n">
        <f aca="false">IF(ISNUMBER(ورودی!G42),IF(ورودی!G42&gt;0,ورودی!G42,1/ABS(ورودی!G42)),"")</f>
        <v>1</v>
      </c>
      <c r="H42" s="31" t="n">
        <f aca="false">IF(ISNUMBER(ورودی!H42),IF(ورودی!H42&gt;0,ورودی!H42,1/ABS(ورودی!H42)),"")</f>
        <v>1</v>
      </c>
      <c r="I42" s="31" t="n">
        <f aca="false">IF(ISNUMBER(ورودی!I42),IF(ورودی!I42&gt;0,ورودی!I42,1/ABS(ورودی!I42)),"")</f>
        <v>2</v>
      </c>
      <c r="J42" s="31" t="n">
        <f aca="false">IF(ISNUMBER(ورودی!J42),IF(ورودی!J42&gt;0,ورودی!J42,1/ABS(ورودی!J42)),"")</f>
        <v>1</v>
      </c>
      <c r="K42" s="31" t="n">
        <f aca="false">IF(ISNUMBER(ورودی!K42),IF(ورودی!K42&gt;0,ورودی!K42,1/ABS(ورودی!K42)),"")</f>
        <v>1</v>
      </c>
      <c r="L42" s="31" t="n">
        <f aca="false">IF(ISNUMBER(ورودی!L42),IF(ورودی!L42&gt;0,ورودی!L42,1/ABS(ورودی!L42)),"")</f>
        <v>1</v>
      </c>
      <c r="M42" s="31" t="n">
        <f aca="false">IF(ISNUMBER(ورودی!M42),IF(ورودی!M42&gt;0,ورودی!M42,1/ABS(ورودی!M42)),"")</f>
        <v>1</v>
      </c>
      <c r="N42" s="41" t="n">
        <f aca="false">IFERROR(GEOMEAN(G42:M42),"")</f>
        <v>1.10408951367381</v>
      </c>
      <c r="O42" s="29" t="n">
        <f aca="false">COUNT(G42:M42)</f>
        <v>7</v>
      </c>
    </row>
    <row r="43" customFormat="false" ht="27" hidden="false" customHeight="true" outlineLevel="0" collapsed="false">
      <c r="A43" s="29" t="n">
        <f aca="false">ورودی!A43</f>
        <v>35</v>
      </c>
      <c r="B43" s="12" t="str">
        <f aca="false">ورودی!B43</f>
        <v>الف</v>
      </c>
      <c r="C43" s="12" t="str">
        <f aca="false">ورودی!C43</f>
        <v>م۷</v>
      </c>
      <c r="D43" s="9" t="str">
        <f aca="false">ورودی!D43</f>
        <v>تغییر ذائقه مصرف‌کننده و محدودیت بازار هدف</v>
      </c>
      <c r="E43" s="12" t="str">
        <f aca="false">ورودی!E43</f>
        <v>م۹</v>
      </c>
      <c r="F43" s="9" t="str">
        <f aca="false">ورودی!F43</f>
        <v>فشارهای اقتصاد کلان و کاهش قدرت خرید</v>
      </c>
      <c r="G43" s="31" t="n">
        <f aca="false">IF(ISNUMBER(ورودی!G43),IF(ورودی!G43&gt;0,ورودی!G43,1/ABS(ورودی!G43)),"")</f>
        <v>1</v>
      </c>
      <c r="H43" s="31" t="n">
        <f aca="false">IF(ISNUMBER(ورودی!H43),IF(ورودی!H43&gt;0,ورودی!H43,1/ABS(ورودی!H43)),"")</f>
        <v>1</v>
      </c>
      <c r="I43" s="31" t="n">
        <f aca="false">IF(ISNUMBER(ورودی!I43),IF(ورودی!I43&gt;0,ورودی!I43,1/ABS(ورودی!I43)),"")</f>
        <v>1</v>
      </c>
      <c r="J43" s="31" t="n">
        <f aca="false">IF(ISNUMBER(ورودی!J43),IF(ورودی!J43&gt;0,ورودی!J43,1/ABS(ورودی!J43)),"")</f>
        <v>1</v>
      </c>
      <c r="K43" s="31" t="n">
        <f aca="false">IF(ISNUMBER(ورودی!K43),IF(ورودی!K43&gt;0,ورودی!K43,1/ABS(ورودی!K43)),"")</f>
        <v>0.5</v>
      </c>
      <c r="L43" s="31" t="n">
        <f aca="false">IF(ISNUMBER(ورودی!L43),IF(ورودی!L43&gt;0,ورودی!L43,1/ABS(ورودی!L43)),"")</f>
        <v>1</v>
      </c>
      <c r="M43" s="31" t="n">
        <f aca="false">IF(ISNUMBER(ورودی!M43),IF(ورودی!M43&gt;0,ورودی!M43,1/ABS(ورودی!M43)),"")</f>
        <v>0.5</v>
      </c>
      <c r="N43" s="41" t="n">
        <f aca="false">IFERROR(GEOMEAN(G43:M43),"")</f>
        <v>0.820335356007638</v>
      </c>
      <c r="O43" s="29" t="n">
        <f aca="false">COUNT(G43:M43)</f>
        <v>7</v>
      </c>
    </row>
    <row r="44" customFormat="false" ht="27" hidden="false" customHeight="true" outlineLevel="0" collapsed="false">
      <c r="A44" s="29" t="n">
        <f aca="false">ورودی!A44</f>
        <v>36</v>
      </c>
      <c r="B44" s="12" t="str">
        <f aca="false">ورودی!B44</f>
        <v>الف</v>
      </c>
      <c r="C44" s="12" t="str">
        <f aca="false">ورودی!C44</f>
        <v>م۸</v>
      </c>
      <c r="D44" s="9" t="str">
        <f aca="false">ورودی!D44</f>
        <v>ناپایداری تأمین و نوسان بهای مواد اولیه</v>
      </c>
      <c r="E44" s="12" t="str">
        <f aca="false">ورودی!E44</f>
        <v>م۹</v>
      </c>
      <c r="F44" s="9" t="str">
        <f aca="false">ورودی!F44</f>
        <v>فشارهای اقتصاد کلان و کاهش قدرت خرید</v>
      </c>
      <c r="G44" s="31" t="n">
        <f aca="false">IF(ISNUMBER(ورودی!G44),IF(ورودی!G44&gt;0,ورودی!G44,1/ABS(ورودی!G44)),"")</f>
        <v>1</v>
      </c>
      <c r="H44" s="31" t="n">
        <f aca="false">IF(ISNUMBER(ورودی!H44),IF(ورودی!H44&gt;0,ورودی!H44,1/ABS(ورودی!H44)),"")</f>
        <v>1</v>
      </c>
      <c r="I44" s="31" t="n">
        <f aca="false">IF(ISNUMBER(ورودی!I44),IF(ورودی!I44&gt;0,ورودی!I44,1/ABS(ورودی!I44)),"")</f>
        <v>0.5</v>
      </c>
      <c r="J44" s="31" t="n">
        <f aca="false">IF(ISNUMBER(ورودی!J44),IF(ورودی!J44&gt;0,ورودی!J44,1/ABS(ورودی!J44)),"")</f>
        <v>1</v>
      </c>
      <c r="K44" s="31" t="n">
        <f aca="false">IF(ISNUMBER(ورودی!K44),IF(ورودی!K44&gt;0,ورودی!K44,1/ABS(ورودی!K44)),"")</f>
        <v>0.5</v>
      </c>
      <c r="L44" s="31" t="n">
        <f aca="false">IF(ISNUMBER(ورودی!L44),IF(ورودی!L44&gt;0,ورودی!L44,1/ABS(ورودی!L44)),"")</f>
        <v>0.5</v>
      </c>
      <c r="M44" s="31" t="n">
        <f aca="false">IF(ISNUMBER(ورودی!M44),IF(ورودی!M44&gt;0,ورودی!M44,1/ABS(ورودی!M44)),"")</f>
        <v>1</v>
      </c>
      <c r="N44" s="41" t="n">
        <f aca="false">IFERROR(GEOMEAN(G44:M44),"")</f>
        <v>0.742997144568474</v>
      </c>
      <c r="O44" s="29" t="n">
        <f aca="false">COUNT(G44:M44)</f>
        <v>7</v>
      </c>
    </row>
    <row r="45" customFormat="false" ht="27" hidden="false" customHeight="true" outlineLevel="0" collapsed="false">
      <c r="A45" s="29" t="n">
        <f aca="false">ورودی!A45</f>
        <v>37</v>
      </c>
      <c r="B45" s="12" t="str">
        <f aca="false">ورودی!B45</f>
        <v>ب</v>
      </c>
      <c r="C45" s="12" t="str">
        <f aca="false">ورودی!C45</f>
        <v>گ۱</v>
      </c>
      <c r="D45" s="9" t="str">
        <f aca="false">ورودی!D45</f>
        <v>وابستگی کامل درآمد و سودآوری شرکت به تقاضای یک محصول</v>
      </c>
      <c r="E45" s="12" t="str">
        <f aca="false">ورودی!E45</f>
        <v>گ۲</v>
      </c>
      <c r="F45" s="9" t="str">
        <f aca="false">ورودی!F45</f>
        <v>نبود امکان جبران افت فروش از محل سایر اقلام سبد محصول</v>
      </c>
      <c r="G45" s="31" t="n">
        <f aca="false">IF(ISNUMBER(ورودی!G45),IF(ورودی!G45&gt;0,ورودی!G45,1/ABS(ورودی!G45)),"")</f>
        <v>2</v>
      </c>
      <c r="H45" s="31" t="n">
        <f aca="false">IF(ISNUMBER(ورودی!H45),IF(ورودی!H45&gt;0,ورودی!H45,1/ABS(ورودی!H45)),"")</f>
        <v>1</v>
      </c>
      <c r="I45" s="31" t="n">
        <f aca="false">IF(ISNUMBER(ورودی!I45),IF(ورودی!I45&gt;0,ورودی!I45,1/ABS(ورودی!I45)),"")</f>
        <v>1</v>
      </c>
      <c r="J45" s="31" t="n">
        <f aca="false">IF(ISNUMBER(ورودی!J45),IF(ورودی!J45&gt;0,ورودی!J45,1/ABS(ورودی!J45)),"")</f>
        <v>0.5</v>
      </c>
      <c r="K45" s="31" t="n">
        <f aca="false">IF(ISNUMBER(ورودی!K45),IF(ورودی!K45&gt;0,ورودی!K45,1/ABS(ورودی!K45)),"")</f>
        <v>1</v>
      </c>
      <c r="L45" s="31" t="n">
        <f aca="false">IF(ISNUMBER(ورودی!L45),IF(ورودی!L45&gt;0,ورودی!L45,1/ABS(ورودی!L45)),"")</f>
        <v>1</v>
      </c>
      <c r="M45" s="31" t="n">
        <f aca="false">IF(ISNUMBER(ورودی!M45),IF(ورودی!M45&gt;0,ورودی!M45,1/ABS(ورودی!M45)),"")</f>
        <v>1</v>
      </c>
      <c r="N45" s="41" t="n">
        <f aca="false">IFERROR(GEOMEAN(G45:M45),"")</f>
        <v>1</v>
      </c>
      <c r="O45" s="29" t="n">
        <f aca="false">COUNT(G45:M45)</f>
        <v>7</v>
      </c>
    </row>
    <row r="46" customFormat="false" ht="27" hidden="false" customHeight="true" outlineLevel="0" collapsed="false">
      <c r="A46" s="29" t="n">
        <f aca="false">ورودی!A46</f>
        <v>38</v>
      </c>
      <c r="B46" s="12" t="str">
        <f aca="false">ورودی!B46</f>
        <v>ب</v>
      </c>
      <c r="C46" s="12" t="str">
        <f aca="false">ورودی!C46</f>
        <v>گ۱</v>
      </c>
      <c r="D46" s="9" t="str">
        <f aca="false">ورودی!D46</f>
        <v>وابستگی کامل درآمد و سودآوری شرکت به تقاضای یک محصول</v>
      </c>
      <c r="E46" s="12" t="str">
        <f aca="false">ورودی!E46</f>
        <v>گ۳</v>
      </c>
      <c r="F46" s="9" t="str">
        <f aca="false">ورودی!F46</f>
        <v>کاهش انعطاف‌پذیری و کندی واکنش شرکت به تغییرات بازار</v>
      </c>
      <c r="G46" s="31" t="n">
        <f aca="false">IF(ISNUMBER(ورودی!G46),IF(ورودی!G46&gt;0,ورودی!G46,1/ABS(ورودی!G46)),"")</f>
        <v>2</v>
      </c>
      <c r="H46" s="31" t="n">
        <f aca="false">IF(ISNUMBER(ورودی!H46),IF(ورودی!H46&gt;0,ورودی!H46,1/ABS(ورودی!H46)),"")</f>
        <v>2</v>
      </c>
      <c r="I46" s="31" t="n">
        <f aca="false">IF(ISNUMBER(ورودی!I46),IF(ورودی!I46&gt;0,ورودی!I46,1/ABS(ورودی!I46)),"")</f>
        <v>2</v>
      </c>
      <c r="J46" s="31" t="n">
        <f aca="false">IF(ISNUMBER(ورودی!J46),IF(ورودی!J46&gt;0,ورودی!J46,1/ABS(ورودی!J46)),"")</f>
        <v>1</v>
      </c>
      <c r="K46" s="31" t="n">
        <f aca="false">IF(ISNUMBER(ورودی!K46),IF(ورودی!K46&gt;0,ورودی!K46,1/ABS(ورودی!K46)),"")</f>
        <v>1</v>
      </c>
      <c r="L46" s="31" t="n">
        <f aca="false">IF(ISNUMBER(ورودی!L46),IF(ورودی!L46&gt;0,ورودی!L46,1/ABS(ورودی!L46)),"")</f>
        <v>1</v>
      </c>
      <c r="M46" s="31" t="n">
        <f aca="false">IF(ISNUMBER(ورودی!M46),IF(ورودی!M46&gt;0,ورودی!M46,1/ABS(ورودی!M46)),"")</f>
        <v>1</v>
      </c>
      <c r="N46" s="41" t="n">
        <f aca="false">IFERROR(GEOMEAN(G46:M46),"")</f>
        <v>1.34590019263236</v>
      </c>
      <c r="O46" s="29" t="n">
        <f aca="false">COUNT(G46:M46)</f>
        <v>7</v>
      </c>
    </row>
    <row r="47" customFormat="false" ht="27" hidden="false" customHeight="true" outlineLevel="0" collapsed="false">
      <c r="A47" s="29" t="n">
        <f aca="false">ورودی!A47</f>
        <v>39</v>
      </c>
      <c r="B47" s="12" t="str">
        <f aca="false">ورودی!B47</f>
        <v>ب</v>
      </c>
      <c r="C47" s="12" t="str">
        <f aca="false">ورودی!C47</f>
        <v>گ۲</v>
      </c>
      <c r="D47" s="9" t="str">
        <f aca="false">ورودی!D47</f>
        <v>نبود امکان جبران افت فروش از محل سایر اقلام سبد محصول</v>
      </c>
      <c r="E47" s="12" t="str">
        <f aca="false">ورودی!E47</f>
        <v>گ۳</v>
      </c>
      <c r="F47" s="9" t="str">
        <f aca="false">ورودی!F47</f>
        <v>کاهش انعطاف‌پذیری و کندی واکنش شرکت به تغییرات بازار</v>
      </c>
      <c r="G47" s="31" t="n">
        <f aca="false">IF(ISNUMBER(ورودی!G47),IF(ورودی!G47&gt;0,ورودی!G47,1/ABS(ورودی!G47)),"")</f>
        <v>1</v>
      </c>
      <c r="H47" s="31" t="n">
        <f aca="false">IF(ISNUMBER(ورودی!H47),IF(ورودی!H47&gt;0,ورودی!H47,1/ABS(ورودی!H47)),"")</f>
        <v>2</v>
      </c>
      <c r="I47" s="31" t="n">
        <f aca="false">IF(ISNUMBER(ورودی!I47),IF(ورودی!I47&gt;0,ورودی!I47,1/ABS(ورودی!I47)),"")</f>
        <v>2</v>
      </c>
      <c r="J47" s="31" t="n">
        <f aca="false">IF(ISNUMBER(ورودی!J47),IF(ورودی!J47&gt;0,ورودی!J47,1/ABS(ورودی!J47)),"")</f>
        <v>2</v>
      </c>
      <c r="K47" s="31" t="n">
        <f aca="false">IF(ISNUMBER(ورودی!K47),IF(ورودی!K47&gt;0,ورودی!K47,1/ABS(ورودی!K47)),"")</f>
        <v>1</v>
      </c>
      <c r="L47" s="31" t="n">
        <f aca="false">IF(ISNUMBER(ورودی!L47),IF(ورودی!L47&gt;0,ورودی!L47,1/ABS(ورودی!L47)),"")</f>
        <v>1</v>
      </c>
      <c r="M47" s="31" t="n">
        <f aca="false">IF(ISNUMBER(ورودی!M47),IF(ورودی!M47&gt;0,ورودی!M47,1/ABS(ورودی!M47)),"")</f>
        <v>1</v>
      </c>
      <c r="N47" s="41" t="n">
        <f aca="false">IFERROR(GEOMEAN(G47:M47),"")</f>
        <v>1.34590019263236</v>
      </c>
      <c r="O47" s="29" t="n">
        <f aca="false">COUNT(G47:M47)</f>
        <v>7</v>
      </c>
    </row>
    <row r="48" customFormat="false" ht="27" hidden="false" customHeight="true" outlineLevel="0" collapsed="false">
      <c r="A48" s="29" t="n">
        <f aca="false">ورودی!A48</f>
        <v>40</v>
      </c>
      <c r="B48" s="12" t="str">
        <f aca="false">ورودی!B48</f>
        <v>ب</v>
      </c>
      <c r="C48" s="12" t="str">
        <f aca="false">ورودی!C48</f>
        <v>گ۴</v>
      </c>
      <c r="D48" s="9" t="str">
        <f aca="false">ورودی!D48</f>
        <v>ضعف در برندسازی و تبلیغات و کمرنگ بودن جایگاه برند در ذهن مشتری</v>
      </c>
      <c r="E48" s="12" t="str">
        <f aca="false">ورودی!E48</f>
        <v>گ۵</v>
      </c>
      <c r="F48" s="9" t="str">
        <f aca="false">ورودی!F48</f>
        <v>دشواری ایجاد تمایز نسبت به محصولات رقیب</v>
      </c>
      <c r="G48" s="31" t="n">
        <f aca="false">IF(ISNUMBER(ورودی!G48),IF(ورودی!G48&gt;0,ورودی!G48,1/ABS(ورودی!G48)),"")</f>
        <v>1</v>
      </c>
      <c r="H48" s="31" t="n">
        <f aca="false">IF(ISNUMBER(ورودی!H48),IF(ورودی!H48&gt;0,ورودی!H48,1/ABS(ورودی!H48)),"")</f>
        <v>1</v>
      </c>
      <c r="I48" s="31" t="n">
        <f aca="false">IF(ISNUMBER(ورودی!I48),IF(ورودی!I48&gt;0,ورودی!I48,1/ABS(ورودی!I48)),"")</f>
        <v>1</v>
      </c>
      <c r="J48" s="31" t="n">
        <f aca="false">IF(ISNUMBER(ورودی!J48),IF(ورودی!J48&gt;0,ورودی!J48,1/ABS(ورودی!J48)),"")</f>
        <v>1</v>
      </c>
      <c r="K48" s="31" t="n">
        <f aca="false">IF(ISNUMBER(ورودی!K48),IF(ورودی!K48&gt;0,ورودی!K48,1/ABS(ورودی!K48)),"")</f>
        <v>1</v>
      </c>
      <c r="L48" s="31" t="n">
        <f aca="false">IF(ISNUMBER(ورودی!L48),IF(ورودی!L48&gt;0,ورودی!L48,1/ABS(ورودی!L48)),"")</f>
        <v>1</v>
      </c>
      <c r="M48" s="31" t="n">
        <f aca="false">IF(ISNUMBER(ورودی!M48),IF(ورودی!M48&gt;0,ورودی!M48,1/ABS(ورودی!M48)),"")</f>
        <v>1</v>
      </c>
      <c r="N48" s="41" t="n">
        <f aca="false">IFERROR(GEOMEAN(G48:M48),"")</f>
        <v>1</v>
      </c>
      <c r="O48" s="29" t="n">
        <f aca="false">COUNT(G48:M48)</f>
        <v>7</v>
      </c>
    </row>
    <row r="49" customFormat="false" ht="27" hidden="false" customHeight="true" outlineLevel="0" collapsed="false">
      <c r="A49" s="29" t="n">
        <f aca="false">ورودی!A49</f>
        <v>41</v>
      </c>
      <c r="B49" s="12" t="str">
        <f aca="false">ورودی!B49</f>
        <v>ب</v>
      </c>
      <c r="C49" s="12" t="str">
        <f aca="false">ورودی!C49</f>
        <v>گ۴</v>
      </c>
      <c r="D49" s="9" t="str">
        <f aca="false">ورودی!D49</f>
        <v>ضعف در برندسازی و تبلیغات و کمرنگ بودن جایگاه برند در ذهن مشتری</v>
      </c>
      <c r="E49" s="12" t="str">
        <f aca="false">ورودی!E49</f>
        <v>گ۶</v>
      </c>
      <c r="F49" s="9" t="str">
        <f aca="false">ورودی!F49</f>
        <v>نبود نوآوری و توسعه محصول</v>
      </c>
      <c r="G49" s="31" t="n">
        <f aca="false">IF(ISNUMBER(ورودی!G49),IF(ورودی!G49&gt;0,ورودی!G49,1/ABS(ورودی!G49)),"")</f>
        <v>2</v>
      </c>
      <c r="H49" s="31" t="n">
        <f aca="false">IF(ISNUMBER(ورودی!H49),IF(ورودی!H49&gt;0,ورودی!H49,1/ABS(ورودی!H49)),"")</f>
        <v>2</v>
      </c>
      <c r="I49" s="31" t="n">
        <f aca="false">IF(ISNUMBER(ورودی!I49),IF(ورودی!I49&gt;0,ورودی!I49,1/ABS(ورودی!I49)),"")</f>
        <v>2</v>
      </c>
      <c r="J49" s="31" t="n">
        <f aca="false">IF(ISNUMBER(ورودی!J49),IF(ورودی!J49&gt;0,ورودی!J49,1/ABS(ورودی!J49)),"")</f>
        <v>2</v>
      </c>
      <c r="K49" s="31" t="n">
        <f aca="false">IF(ISNUMBER(ورودی!K49),IF(ورودی!K49&gt;0,ورودی!K49,1/ABS(ورودی!K49)),"")</f>
        <v>1</v>
      </c>
      <c r="L49" s="31" t="n">
        <f aca="false">IF(ISNUMBER(ورودی!L49),IF(ورودی!L49&gt;0,ورودی!L49,1/ABS(ورودی!L49)),"")</f>
        <v>2</v>
      </c>
      <c r="M49" s="31" t="n">
        <f aca="false">IF(ISNUMBER(ورودی!M49),IF(ورودی!M49&gt;0,ورودی!M49,1/ABS(ورودی!M49)),"")</f>
        <v>2</v>
      </c>
      <c r="N49" s="41" t="n">
        <f aca="false">IFERROR(GEOMEAN(G49:M49),"")</f>
        <v>1.81144732852781</v>
      </c>
      <c r="O49" s="29" t="n">
        <f aca="false">COUNT(G49:M49)</f>
        <v>7</v>
      </c>
    </row>
    <row r="50" customFormat="false" ht="27" hidden="false" customHeight="true" outlineLevel="0" collapsed="false">
      <c r="A50" s="29" t="n">
        <f aca="false">ورودی!A50</f>
        <v>42</v>
      </c>
      <c r="B50" s="12" t="str">
        <f aca="false">ورودی!B50</f>
        <v>ب</v>
      </c>
      <c r="C50" s="12" t="str">
        <f aca="false">ورودی!C50</f>
        <v>گ۴</v>
      </c>
      <c r="D50" s="9" t="str">
        <f aca="false">ورودی!D50</f>
        <v>ضعف در برندسازی و تبلیغات و کمرنگ بودن جایگاه برند در ذهن مشتری</v>
      </c>
      <c r="E50" s="12" t="str">
        <f aca="false">ورودی!E50</f>
        <v>گ۷</v>
      </c>
      <c r="F50" s="9" t="str">
        <f aca="false">ورودی!F50</f>
        <v>کم‌توجهی به تحقیقات بازار و مطالعه رفتار مصرف‌کننده</v>
      </c>
      <c r="G50" s="31" t="n">
        <f aca="false">IF(ISNUMBER(ورودی!G50),IF(ورودی!G50&gt;0,ورودی!G50,1/ABS(ورودی!G50)),"")</f>
        <v>2</v>
      </c>
      <c r="H50" s="31" t="n">
        <f aca="false">IF(ISNUMBER(ورودی!H50),IF(ورودی!H50&gt;0,ورودی!H50,1/ABS(ورودی!H50)),"")</f>
        <v>1</v>
      </c>
      <c r="I50" s="31" t="n">
        <f aca="false">IF(ISNUMBER(ورودی!I50),IF(ورودی!I50&gt;0,ورودی!I50,1/ABS(ورودی!I50)),"")</f>
        <v>2</v>
      </c>
      <c r="J50" s="31" t="n">
        <f aca="false">IF(ISNUMBER(ورودی!J50),IF(ورودی!J50&gt;0,ورودی!J50,1/ABS(ورودی!J50)),"")</f>
        <v>2</v>
      </c>
      <c r="K50" s="31" t="n">
        <f aca="false">IF(ISNUMBER(ورودی!K50),IF(ورودی!K50&gt;0,ورودی!K50,1/ABS(ورودی!K50)),"")</f>
        <v>2</v>
      </c>
      <c r="L50" s="31" t="n">
        <f aca="false">IF(ISNUMBER(ورودی!L50),IF(ورودی!L50&gt;0,ورودی!L50,1/ABS(ورودی!L50)),"")</f>
        <v>2</v>
      </c>
      <c r="M50" s="31" t="n">
        <f aca="false">IF(ISNUMBER(ورودی!M50),IF(ورودی!M50&gt;0,ورودی!M50,1/ABS(ورودی!M50)),"")</f>
        <v>2</v>
      </c>
      <c r="N50" s="41" t="n">
        <f aca="false">IFERROR(GEOMEAN(G50:M50),"")</f>
        <v>1.81144732852781</v>
      </c>
      <c r="O50" s="29" t="n">
        <f aca="false">COUNT(G50:M50)</f>
        <v>7</v>
      </c>
    </row>
    <row r="51" customFormat="false" ht="27" hidden="false" customHeight="true" outlineLevel="0" collapsed="false">
      <c r="A51" s="29" t="n">
        <f aca="false">ورودی!A51</f>
        <v>43</v>
      </c>
      <c r="B51" s="12" t="str">
        <f aca="false">ورودی!B51</f>
        <v>ب</v>
      </c>
      <c r="C51" s="12" t="str">
        <f aca="false">ورودی!C51</f>
        <v>گ۵</v>
      </c>
      <c r="D51" s="9" t="str">
        <f aca="false">ورودی!D51</f>
        <v>دشواری ایجاد تمایز نسبت به محصولات رقیب</v>
      </c>
      <c r="E51" s="12" t="str">
        <f aca="false">ورودی!E51</f>
        <v>گ۶</v>
      </c>
      <c r="F51" s="9" t="str">
        <f aca="false">ورودی!F51</f>
        <v>نبود نوآوری و توسعه محصول</v>
      </c>
      <c r="G51" s="31" t="n">
        <f aca="false">IF(ISNUMBER(ورودی!G51),IF(ورودی!G51&gt;0,ورودی!G51,1/ABS(ورودی!G51)),"")</f>
        <v>2</v>
      </c>
      <c r="H51" s="31" t="n">
        <f aca="false">IF(ISNUMBER(ورودی!H51),IF(ورودی!H51&gt;0,ورودی!H51,1/ABS(ورودی!H51)),"")</f>
        <v>2</v>
      </c>
      <c r="I51" s="31" t="n">
        <f aca="false">IF(ISNUMBER(ورودی!I51),IF(ورودی!I51&gt;0,ورودی!I51,1/ABS(ورودی!I51)),"")</f>
        <v>2</v>
      </c>
      <c r="J51" s="31" t="n">
        <f aca="false">IF(ISNUMBER(ورودی!J51),IF(ورودی!J51&gt;0,ورودی!J51,1/ABS(ورودی!J51)),"")</f>
        <v>2</v>
      </c>
      <c r="K51" s="31" t="n">
        <f aca="false">IF(ISNUMBER(ورودی!K51),IF(ورودی!K51&gt;0,ورودی!K51,1/ABS(ورودی!K51)),"")</f>
        <v>1</v>
      </c>
      <c r="L51" s="31" t="n">
        <f aca="false">IF(ISNUMBER(ورودی!L51),IF(ورودی!L51&gt;0,ورودی!L51,1/ABS(ورودی!L51)),"")</f>
        <v>2</v>
      </c>
      <c r="M51" s="31" t="n">
        <f aca="false">IF(ISNUMBER(ورودی!M51),IF(ورودی!M51&gt;0,ورودی!M51,1/ABS(ورودی!M51)),"")</f>
        <v>2</v>
      </c>
      <c r="N51" s="41" t="n">
        <f aca="false">IFERROR(GEOMEAN(G51:M51),"")</f>
        <v>1.81144732852781</v>
      </c>
      <c r="O51" s="29" t="n">
        <f aca="false">COUNT(G51:M51)</f>
        <v>7</v>
      </c>
    </row>
    <row r="52" customFormat="false" ht="27" hidden="false" customHeight="true" outlineLevel="0" collapsed="false">
      <c r="A52" s="29" t="n">
        <f aca="false">ورودی!A52</f>
        <v>44</v>
      </c>
      <c r="B52" s="12" t="str">
        <f aca="false">ورودی!B52</f>
        <v>ب</v>
      </c>
      <c r="C52" s="12" t="str">
        <f aca="false">ورودی!C52</f>
        <v>گ۵</v>
      </c>
      <c r="D52" s="9" t="str">
        <f aca="false">ورودی!D52</f>
        <v>دشواری ایجاد تمایز نسبت به محصولات رقیب</v>
      </c>
      <c r="E52" s="12" t="str">
        <f aca="false">ورودی!E52</f>
        <v>گ۷</v>
      </c>
      <c r="F52" s="9" t="str">
        <f aca="false">ورودی!F52</f>
        <v>کم‌توجهی به تحقیقات بازار و مطالعه رفتار مصرف‌کننده</v>
      </c>
      <c r="G52" s="31" t="n">
        <f aca="false">IF(ISNUMBER(ورودی!G52),IF(ورودی!G52&gt;0,ورودی!G52,1/ABS(ورودی!G52)),"")</f>
        <v>2</v>
      </c>
      <c r="H52" s="31" t="n">
        <f aca="false">IF(ISNUMBER(ورودی!H52),IF(ورودی!H52&gt;0,ورودی!H52,1/ABS(ورودی!H52)),"")</f>
        <v>1</v>
      </c>
      <c r="I52" s="31" t="n">
        <f aca="false">IF(ISNUMBER(ورودی!I52),IF(ورودی!I52&gt;0,ورودی!I52,1/ABS(ورودی!I52)),"")</f>
        <v>2</v>
      </c>
      <c r="J52" s="31" t="n">
        <f aca="false">IF(ISNUMBER(ورودی!J52),IF(ورودی!J52&gt;0,ورودی!J52,1/ABS(ورودی!J52)),"")</f>
        <v>2</v>
      </c>
      <c r="K52" s="31" t="n">
        <f aca="false">IF(ISNUMBER(ورودی!K52),IF(ورودی!K52&gt;0,ورودی!K52,1/ABS(ورودی!K52)),"")</f>
        <v>2</v>
      </c>
      <c r="L52" s="31" t="n">
        <f aca="false">IF(ISNUMBER(ورودی!L52),IF(ورودی!L52&gt;0,ورودی!L52,1/ABS(ورودی!L52)),"")</f>
        <v>2</v>
      </c>
      <c r="M52" s="31" t="n">
        <f aca="false">IF(ISNUMBER(ورودی!M52),IF(ورودی!M52&gt;0,ورودی!M52,1/ABS(ورودی!M52)),"")</f>
        <v>2</v>
      </c>
      <c r="N52" s="41" t="n">
        <f aca="false">IFERROR(GEOMEAN(G52:M52),"")</f>
        <v>1.81144732852781</v>
      </c>
      <c r="O52" s="29" t="n">
        <f aca="false">COUNT(G52:M52)</f>
        <v>7</v>
      </c>
    </row>
    <row r="53" customFormat="false" ht="27" hidden="false" customHeight="true" outlineLevel="0" collapsed="false">
      <c r="A53" s="29" t="n">
        <f aca="false">ورودی!A53</f>
        <v>45</v>
      </c>
      <c r="B53" s="12" t="str">
        <f aca="false">ورودی!B53</f>
        <v>ب</v>
      </c>
      <c r="C53" s="12" t="str">
        <f aca="false">ورودی!C53</f>
        <v>گ۶</v>
      </c>
      <c r="D53" s="9" t="str">
        <f aca="false">ورودی!D53</f>
        <v>نبود نوآوری و توسعه محصول</v>
      </c>
      <c r="E53" s="12" t="str">
        <f aca="false">ورودی!E53</f>
        <v>گ۷</v>
      </c>
      <c r="F53" s="9" t="str">
        <f aca="false">ورودی!F53</f>
        <v>کم‌توجهی به تحقیقات بازار و مطالعه رفتار مصرف‌کننده</v>
      </c>
      <c r="G53" s="31" t="n">
        <f aca="false">IF(ISNUMBER(ورودی!G53),IF(ورودی!G53&gt;0,ورودی!G53,1/ABS(ورودی!G53)),"")</f>
        <v>1</v>
      </c>
      <c r="H53" s="31" t="n">
        <f aca="false">IF(ISNUMBER(ورودی!H53),IF(ورودی!H53&gt;0,ورودی!H53,1/ABS(ورودی!H53)),"")</f>
        <v>0.5</v>
      </c>
      <c r="I53" s="31" t="n">
        <f aca="false">IF(ISNUMBER(ورودی!I53),IF(ورودی!I53&gt;0,ورودی!I53,1/ABS(ورودی!I53)),"")</f>
        <v>1</v>
      </c>
      <c r="J53" s="31" t="n">
        <f aca="false">IF(ISNUMBER(ورودی!J53),IF(ورودی!J53&gt;0,ورودی!J53,1/ABS(ورودی!J53)),"")</f>
        <v>1</v>
      </c>
      <c r="K53" s="31" t="n">
        <f aca="false">IF(ISNUMBER(ورودی!K53),IF(ورودی!K53&gt;0,ورودی!K53,1/ABS(ورودی!K53)),"")</f>
        <v>2</v>
      </c>
      <c r="L53" s="31" t="n">
        <f aca="false">IF(ISNUMBER(ورودی!L53),IF(ورودی!L53&gt;0,ورودی!L53,1/ABS(ورودی!L53)),"")</f>
        <v>1</v>
      </c>
      <c r="M53" s="31" t="n">
        <f aca="false">IF(ISNUMBER(ورودی!M53),IF(ورودی!M53&gt;0,ورودی!M53,1/ABS(ورودی!M53)),"")</f>
        <v>1</v>
      </c>
      <c r="N53" s="41" t="n">
        <f aca="false">IFERROR(GEOMEAN(G53:M53),"")</f>
        <v>1</v>
      </c>
      <c r="O53" s="29" t="n">
        <f aca="false">COUNT(G53:M53)</f>
        <v>7</v>
      </c>
    </row>
    <row r="54" customFormat="false" ht="27" hidden="false" customHeight="true" outlineLevel="0" collapsed="false">
      <c r="A54" s="29" t="n">
        <f aca="false">ورودی!A54</f>
        <v>46</v>
      </c>
      <c r="B54" s="12" t="str">
        <f aca="false">ورودی!B54</f>
        <v>ب</v>
      </c>
      <c r="C54" s="12" t="str">
        <f aca="false">ورودی!C54</f>
        <v>گ۸</v>
      </c>
      <c r="D54" s="9" t="str">
        <f aca="false">ورودی!D54</f>
        <v>دشواری جذب مشتری جدید</v>
      </c>
      <c r="E54" s="12" t="str">
        <f aca="false">ورودی!E54</f>
        <v>گ۹</v>
      </c>
      <c r="F54" s="9" t="str">
        <f aca="false">ورودی!F54</f>
        <v>وفاداری پایین مشتری به شرکت تک‌محصولی</v>
      </c>
      <c r="G54" s="31" t="n">
        <f aca="false">IF(ISNUMBER(ورودی!G54),IF(ورودی!G54&gt;0,ورودی!G54,1/ABS(ورودی!G54)),"")</f>
        <v>1</v>
      </c>
      <c r="H54" s="31" t="n">
        <f aca="false">IF(ISNUMBER(ورودی!H54),IF(ورودی!H54&gt;0,ورودی!H54,1/ABS(ورودی!H54)),"")</f>
        <v>1</v>
      </c>
      <c r="I54" s="31" t="n">
        <f aca="false">IF(ISNUMBER(ورودی!I54),IF(ورودی!I54&gt;0,ورودی!I54,1/ABS(ورودی!I54)),"")</f>
        <v>1</v>
      </c>
      <c r="J54" s="31" t="n">
        <f aca="false">IF(ISNUMBER(ورودی!J54),IF(ورودی!J54&gt;0,ورودی!J54,1/ABS(ورودی!J54)),"")</f>
        <v>1</v>
      </c>
      <c r="K54" s="31" t="n">
        <f aca="false">IF(ISNUMBER(ورودی!K54),IF(ورودی!K54&gt;0,ورودی!K54,1/ABS(ورودی!K54)),"")</f>
        <v>1</v>
      </c>
      <c r="L54" s="31" t="n">
        <f aca="false">IF(ISNUMBER(ورودی!L54),IF(ورودی!L54&gt;0,ورودی!L54,1/ABS(ورودی!L54)),"")</f>
        <v>1</v>
      </c>
      <c r="M54" s="31" t="n">
        <f aca="false">IF(ISNUMBER(ورودی!M54),IF(ورودی!M54&gt;0,ورودی!M54,1/ABS(ورودی!M54)),"")</f>
        <v>1</v>
      </c>
      <c r="N54" s="41" t="n">
        <f aca="false">IFERROR(GEOMEAN(G54:M54),"")</f>
        <v>1</v>
      </c>
      <c r="O54" s="29" t="n">
        <f aca="false">COUNT(G54:M54)</f>
        <v>7</v>
      </c>
    </row>
    <row r="55" customFormat="false" ht="27" hidden="false" customHeight="true" outlineLevel="0" collapsed="false">
      <c r="A55" s="29" t="n">
        <f aca="false">ورودی!A55</f>
        <v>47</v>
      </c>
      <c r="B55" s="12" t="str">
        <f aca="false">ورودی!B55</f>
        <v>ب</v>
      </c>
      <c r="C55" s="12" t="str">
        <f aca="false">ورودی!C55</f>
        <v>گ۸</v>
      </c>
      <c r="D55" s="9" t="str">
        <f aca="false">ورودی!D55</f>
        <v>دشواری جذب مشتری جدید</v>
      </c>
      <c r="E55" s="12" t="str">
        <f aca="false">ورودی!E55</f>
        <v>گ۱۰</v>
      </c>
      <c r="F55" s="9" t="str">
        <f aca="false">ورودی!F55</f>
        <v>نبود پیشنهاد تازه برای حفظ و فعال‌سازی مجدد مشتریان فعلی</v>
      </c>
      <c r="G55" s="31" t="n">
        <f aca="false">IF(ISNUMBER(ورودی!G55),IF(ورودی!G55&gt;0,ورودی!G55,1/ABS(ورودی!G55)),"")</f>
        <v>2</v>
      </c>
      <c r="H55" s="31" t="n">
        <f aca="false">IF(ISNUMBER(ورودی!H55),IF(ورودی!H55&gt;0,ورودی!H55,1/ABS(ورودی!H55)),"")</f>
        <v>1</v>
      </c>
      <c r="I55" s="31" t="n">
        <f aca="false">IF(ISNUMBER(ورودی!I55),IF(ورودی!I55&gt;0,ورودی!I55,1/ABS(ورودی!I55)),"")</f>
        <v>1</v>
      </c>
      <c r="J55" s="31" t="n">
        <f aca="false">IF(ISNUMBER(ورودی!J55),IF(ورودی!J55&gt;0,ورودی!J55,1/ABS(ورودی!J55)),"")</f>
        <v>2</v>
      </c>
      <c r="K55" s="31" t="n">
        <f aca="false">IF(ISNUMBER(ورودی!K55),IF(ورودی!K55&gt;0,ورودی!K55,1/ABS(ورودی!K55)),"")</f>
        <v>1</v>
      </c>
      <c r="L55" s="31" t="n">
        <f aca="false">IF(ISNUMBER(ورودی!L55),IF(ورودی!L55&gt;0,ورودی!L55,1/ABS(ورودی!L55)),"")</f>
        <v>2</v>
      </c>
      <c r="M55" s="31" t="n">
        <f aca="false">IF(ISNUMBER(ورودی!M55),IF(ورودی!M55&gt;0,ورودی!M55,1/ABS(ورودی!M55)),"")</f>
        <v>2</v>
      </c>
      <c r="N55" s="41" t="n">
        <f aca="false">IFERROR(GEOMEAN(G55:M55),"")</f>
        <v>1.48599428913695</v>
      </c>
      <c r="O55" s="29" t="n">
        <f aca="false">COUNT(G55:M55)</f>
        <v>7</v>
      </c>
    </row>
    <row r="56" customFormat="false" ht="27" hidden="false" customHeight="true" outlineLevel="0" collapsed="false">
      <c r="A56" s="29" t="n">
        <f aca="false">ورودی!A56</f>
        <v>48</v>
      </c>
      <c r="B56" s="12" t="str">
        <f aca="false">ورودی!B56</f>
        <v>ب</v>
      </c>
      <c r="C56" s="12" t="str">
        <f aca="false">ورودی!C56</f>
        <v>گ۹</v>
      </c>
      <c r="D56" s="9" t="str">
        <f aca="false">ورودی!D56</f>
        <v>وفاداری پایین مشتری به شرکت تک‌محصولی</v>
      </c>
      <c r="E56" s="12" t="str">
        <f aca="false">ورودی!E56</f>
        <v>گ۱۰</v>
      </c>
      <c r="F56" s="9" t="str">
        <f aca="false">ورودی!F56</f>
        <v>نبود پیشنهاد تازه برای حفظ و فعال‌سازی مجدد مشتریان فعلی</v>
      </c>
      <c r="G56" s="31" t="n">
        <f aca="false">IF(ISNUMBER(ورودی!G56),IF(ورودی!G56&gt;0,ورودی!G56,1/ABS(ورودی!G56)),"")</f>
        <v>2</v>
      </c>
      <c r="H56" s="31" t="n">
        <f aca="false">IF(ISNUMBER(ورودی!H56),IF(ورودی!H56&gt;0,ورودی!H56,1/ABS(ورودی!H56)),"")</f>
        <v>1</v>
      </c>
      <c r="I56" s="31" t="n">
        <f aca="false">IF(ISNUMBER(ورودی!I56),IF(ورودی!I56&gt;0,ورودی!I56,1/ABS(ورودی!I56)),"")</f>
        <v>1</v>
      </c>
      <c r="J56" s="31" t="n">
        <f aca="false">IF(ISNUMBER(ورودی!J56),IF(ورودی!J56&gt;0,ورودی!J56,1/ABS(ورودی!J56)),"")</f>
        <v>2</v>
      </c>
      <c r="K56" s="31" t="n">
        <f aca="false">IF(ISNUMBER(ورودی!K56),IF(ورودی!K56&gt;0,ورودی!K56,1/ABS(ورودی!K56)),"")</f>
        <v>1</v>
      </c>
      <c r="L56" s="31" t="n">
        <f aca="false">IF(ISNUMBER(ورودی!L56),IF(ورودی!L56&gt;0,ورودی!L56,1/ABS(ورودی!L56)),"")</f>
        <v>2</v>
      </c>
      <c r="M56" s="31" t="n">
        <f aca="false">IF(ISNUMBER(ورودی!M56),IF(ورودی!M56&gt;0,ورودی!M56,1/ABS(ورودی!M56)),"")</f>
        <v>2</v>
      </c>
      <c r="N56" s="41" t="n">
        <f aca="false">IFERROR(GEOMEAN(G56:M56),"")</f>
        <v>1.48599428913695</v>
      </c>
      <c r="O56" s="29" t="n">
        <f aca="false">COUNT(G56:M56)</f>
        <v>7</v>
      </c>
    </row>
    <row r="57" customFormat="false" ht="27" hidden="false" customHeight="true" outlineLevel="0" collapsed="false">
      <c r="A57" s="29" t="n">
        <f aca="false">ورودی!A57</f>
        <v>49</v>
      </c>
      <c r="B57" s="12" t="str">
        <f aca="false">ورودی!B57</f>
        <v>ب</v>
      </c>
      <c r="C57" s="12" t="str">
        <f aca="false">ورودی!C57</f>
        <v>گ۱۱</v>
      </c>
      <c r="D57" s="9" t="str">
        <f aca="false">ورودی!D57</f>
        <v>ضعف در پیش‌بینی دقیق تقاضای بازار</v>
      </c>
      <c r="E57" s="12" t="str">
        <f aca="false">ورودی!E57</f>
        <v>گ۱۲</v>
      </c>
      <c r="F57" s="9" t="str">
        <f aca="false">ورودی!F57</f>
        <v>ضعف در برنامه‌ریزی و مدیریت موجودی</v>
      </c>
      <c r="G57" s="31" t="n">
        <f aca="false">IF(ISNUMBER(ورودی!G57),IF(ورودی!G57&gt;0,ورودی!G57,1/ABS(ورودی!G57)),"")</f>
        <v>1</v>
      </c>
      <c r="H57" s="31" t="n">
        <f aca="false">IF(ISNUMBER(ورودی!H57),IF(ورودی!H57&gt;0,ورودی!H57,1/ABS(ورودی!H57)),"")</f>
        <v>1</v>
      </c>
      <c r="I57" s="31" t="n">
        <f aca="false">IF(ISNUMBER(ورودی!I57),IF(ورودی!I57&gt;0,ورودی!I57,1/ABS(ورودی!I57)),"")</f>
        <v>1</v>
      </c>
      <c r="J57" s="31" t="n">
        <f aca="false">IF(ISNUMBER(ورودی!J57),IF(ورودی!J57&gt;0,ورودی!J57,1/ABS(ورودی!J57)),"")</f>
        <v>1</v>
      </c>
      <c r="K57" s="31" t="n">
        <f aca="false">IF(ISNUMBER(ورودی!K57),IF(ورودی!K57&gt;0,ورودی!K57,1/ABS(ورودی!K57)),"")</f>
        <v>1</v>
      </c>
      <c r="L57" s="31" t="n">
        <f aca="false">IF(ISNUMBER(ورودی!L57),IF(ورودی!L57&gt;0,ورودی!L57,1/ABS(ورودی!L57)),"")</f>
        <v>1</v>
      </c>
      <c r="M57" s="31" t="n">
        <f aca="false">IF(ISNUMBER(ورودی!M57),IF(ورودی!M57&gt;0,ورودی!M57,1/ABS(ورودی!M57)),"")</f>
        <v>1</v>
      </c>
      <c r="N57" s="41" t="n">
        <f aca="false">IFERROR(GEOMEAN(G57:M57),"")</f>
        <v>1</v>
      </c>
      <c r="O57" s="29" t="n">
        <f aca="false">COUNT(G57:M57)</f>
        <v>7</v>
      </c>
    </row>
    <row r="58" customFormat="false" ht="27" hidden="false" customHeight="true" outlineLevel="0" collapsed="false">
      <c r="A58" s="29" t="n">
        <f aca="false">ورودی!A58</f>
        <v>50</v>
      </c>
      <c r="B58" s="12" t="str">
        <f aca="false">ورودی!B58</f>
        <v>ب</v>
      </c>
      <c r="C58" s="12" t="str">
        <f aca="false">ورودی!C58</f>
        <v>گ۱۱</v>
      </c>
      <c r="D58" s="9" t="str">
        <f aca="false">ورودی!D58</f>
        <v>ضعف در پیش‌بینی دقیق تقاضای بازار</v>
      </c>
      <c r="E58" s="12" t="str">
        <f aca="false">ورودی!E58</f>
        <v>گ۱۳</v>
      </c>
      <c r="F58" s="9" t="str">
        <f aca="false">ورودی!F58</f>
        <v>ضعف در نظام برنامه‌ریزی و اطلاعات فروش</v>
      </c>
      <c r="G58" s="31" t="n">
        <f aca="false">IF(ISNUMBER(ورودی!G58),IF(ورودی!G58&gt;0,ورودی!G58,1/ABS(ورودی!G58)),"")</f>
        <v>2</v>
      </c>
      <c r="H58" s="31" t="n">
        <f aca="false">IF(ISNUMBER(ورودی!H58),IF(ورودی!H58&gt;0,ورودی!H58,1/ABS(ورودی!H58)),"")</f>
        <v>2</v>
      </c>
      <c r="I58" s="31" t="n">
        <f aca="false">IF(ISNUMBER(ورودی!I58),IF(ورودی!I58&gt;0,ورودی!I58,1/ABS(ورودی!I58)),"")</f>
        <v>2</v>
      </c>
      <c r="J58" s="31" t="n">
        <f aca="false">IF(ISNUMBER(ورودی!J58),IF(ورودی!J58&gt;0,ورودی!J58,1/ABS(ورودی!J58)),"")</f>
        <v>2</v>
      </c>
      <c r="K58" s="31" t="n">
        <f aca="false">IF(ISNUMBER(ورودی!K58),IF(ورودی!K58&gt;0,ورودی!K58,1/ABS(ورودی!K58)),"")</f>
        <v>2</v>
      </c>
      <c r="L58" s="31" t="n">
        <f aca="false">IF(ISNUMBER(ورودی!L58),IF(ورودی!L58&gt;0,ورودی!L58,1/ABS(ورودی!L58)),"")</f>
        <v>1</v>
      </c>
      <c r="M58" s="31" t="n">
        <f aca="false">IF(ISNUMBER(ورودی!M58),IF(ورودی!M58&gt;0,ورودی!M58,1/ABS(ورودی!M58)),"")</f>
        <v>2</v>
      </c>
      <c r="N58" s="41" t="n">
        <f aca="false">IFERROR(GEOMEAN(G58:M58),"")</f>
        <v>1.81144732852781</v>
      </c>
      <c r="O58" s="29" t="n">
        <f aca="false">COUNT(G58:M58)</f>
        <v>7</v>
      </c>
    </row>
    <row r="59" customFormat="false" ht="27" hidden="false" customHeight="true" outlineLevel="0" collapsed="false">
      <c r="A59" s="29" t="n">
        <f aca="false">ورودی!A59</f>
        <v>51</v>
      </c>
      <c r="B59" s="12" t="str">
        <f aca="false">ورودی!B59</f>
        <v>ب</v>
      </c>
      <c r="C59" s="12" t="str">
        <f aca="false">ورودی!C59</f>
        <v>گ۱۱</v>
      </c>
      <c r="D59" s="9" t="str">
        <f aca="false">ورودی!D59</f>
        <v>ضعف در پیش‌بینی دقیق تقاضای بازار</v>
      </c>
      <c r="E59" s="12" t="str">
        <f aca="false">ورودی!E59</f>
        <v>گ۱۴</v>
      </c>
      <c r="F59" s="9" t="str">
        <f aca="false">ورودی!F59</f>
        <v>محدودیت منابع مالی برای توزیع و ترویج محصول</v>
      </c>
      <c r="G59" s="31" t="n">
        <f aca="false">IF(ISNUMBER(ورودی!G59),IF(ورودی!G59&gt;0,ورودی!G59,1/ABS(ورودی!G59)),"")</f>
        <v>1</v>
      </c>
      <c r="H59" s="31" t="n">
        <f aca="false">IF(ISNUMBER(ورودی!H59),IF(ورودی!H59&gt;0,ورودی!H59,1/ABS(ورودی!H59)),"")</f>
        <v>1</v>
      </c>
      <c r="I59" s="31" t="n">
        <f aca="false">IF(ISNUMBER(ورودی!I59),IF(ورودی!I59&gt;0,ورودی!I59,1/ABS(ورودی!I59)),"")</f>
        <v>1</v>
      </c>
      <c r="J59" s="31" t="n">
        <f aca="false">IF(ISNUMBER(ورودی!J59),IF(ورودی!J59&gt;0,ورودی!J59,1/ABS(ورودی!J59)),"")</f>
        <v>1</v>
      </c>
      <c r="K59" s="31" t="n">
        <f aca="false">IF(ISNUMBER(ورودی!K59),IF(ورودی!K59&gt;0,ورودی!K59,1/ABS(ورودی!K59)),"")</f>
        <v>1</v>
      </c>
      <c r="L59" s="31" t="n">
        <f aca="false">IF(ISNUMBER(ورودی!L59),IF(ورودی!L59&gt;0,ورودی!L59,1/ABS(ورودی!L59)),"")</f>
        <v>1</v>
      </c>
      <c r="M59" s="31" t="n">
        <f aca="false">IF(ISNUMBER(ورودی!M59),IF(ورودی!M59&gt;0,ورودی!M59,1/ABS(ورودی!M59)),"")</f>
        <v>1</v>
      </c>
      <c r="N59" s="41" t="n">
        <f aca="false">IFERROR(GEOMEAN(G59:M59),"")</f>
        <v>1</v>
      </c>
      <c r="O59" s="29" t="n">
        <f aca="false">COUNT(G59:M59)</f>
        <v>7</v>
      </c>
    </row>
    <row r="60" customFormat="false" ht="27" hidden="false" customHeight="true" outlineLevel="0" collapsed="false">
      <c r="A60" s="29" t="n">
        <f aca="false">ورودی!A60</f>
        <v>52</v>
      </c>
      <c r="B60" s="12" t="str">
        <f aca="false">ورودی!B60</f>
        <v>ب</v>
      </c>
      <c r="C60" s="12" t="str">
        <f aca="false">ورودی!C60</f>
        <v>گ۱۲</v>
      </c>
      <c r="D60" s="9" t="str">
        <f aca="false">ورودی!D60</f>
        <v>ضعف در برنامه‌ریزی و مدیریت موجودی</v>
      </c>
      <c r="E60" s="12" t="str">
        <f aca="false">ورودی!E60</f>
        <v>گ۱۳</v>
      </c>
      <c r="F60" s="9" t="str">
        <f aca="false">ورودی!F60</f>
        <v>ضعف در نظام برنامه‌ریزی و اطلاعات فروش</v>
      </c>
      <c r="G60" s="31" t="n">
        <f aca="false">IF(ISNUMBER(ورودی!G60),IF(ورودی!G60&gt;0,ورودی!G60,1/ABS(ورودی!G60)),"")</f>
        <v>2</v>
      </c>
      <c r="H60" s="31" t="n">
        <f aca="false">IF(ISNUMBER(ورودی!H60),IF(ورودی!H60&gt;0,ورودی!H60,1/ABS(ورودی!H60)),"")</f>
        <v>2</v>
      </c>
      <c r="I60" s="31" t="n">
        <f aca="false">IF(ISNUMBER(ورودی!I60),IF(ورودی!I60&gt;0,ورودی!I60,1/ABS(ورودی!I60)),"")</f>
        <v>2</v>
      </c>
      <c r="J60" s="31" t="n">
        <f aca="false">IF(ISNUMBER(ورودی!J60),IF(ورودی!J60&gt;0,ورودی!J60,1/ABS(ورودی!J60)),"")</f>
        <v>2</v>
      </c>
      <c r="K60" s="31" t="n">
        <f aca="false">IF(ISNUMBER(ورودی!K60),IF(ورودی!K60&gt;0,ورودی!K60,1/ABS(ورودی!K60)),"")</f>
        <v>2</v>
      </c>
      <c r="L60" s="31" t="n">
        <f aca="false">IF(ISNUMBER(ورودی!L60),IF(ورودی!L60&gt;0,ورودی!L60,1/ABS(ورودی!L60)),"")</f>
        <v>1</v>
      </c>
      <c r="M60" s="31" t="n">
        <f aca="false">IF(ISNUMBER(ورودی!M60),IF(ورودی!M60&gt;0,ورودی!M60,1/ABS(ورودی!M60)),"")</f>
        <v>2</v>
      </c>
      <c r="N60" s="41" t="n">
        <f aca="false">IFERROR(GEOMEAN(G60:M60),"")</f>
        <v>1.81144732852781</v>
      </c>
      <c r="O60" s="29" t="n">
        <f aca="false">COUNT(G60:M60)</f>
        <v>7</v>
      </c>
    </row>
    <row r="61" customFormat="false" ht="27" hidden="false" customHeight="true" outlineLevel="0" collapsed="false">
      <c r="A61" s="29" t="n">
        <f aca="false">ورودی!A61</f>
        <v>53</v>
      </c>
      <c r="B61" s="12" t="str">
        <f aca="false">ورودی!B61</f>
        <v>ب</v>
      </c>
      <c r="C61" s="12" t="str">
        <f aca="false">ورودی!C61</f>
        <v>گ۱۲</v>
      </c>
      <c r="D61" s="9" t="str">
        <f aca="false">ورودی!D61</f>
        <v>ضعف در برنامه‌ریزی و مدیریت موجودی</v>
      </c>
      <c r="E61" s="12" t="str">
        <f aca="false">ورودی!E61</f>
        <v>گ۱۴</v>
      </c>
      <c r="F61" s="9" t="str">
        <f aca="false">ورودی!F61</f>
        <v>محدودیت منابع مالی برای توزیع و ترویج محصول</v>
      </c>
      <c r="G61" s="31" t="n">
        <f aca="false">IF(ISNUMBER(ورودی!G61),IF(ورودی!G61&gt;0,ورودی!G61,1/ABS(ورودی!G61)),"")</f>
        <v>1</v>
      </c>
      <c r="H61" s="31" t="n">
        <f aca="false">IF(ISNUMBER(ورودی!H61),IF(ورودی!H61&gt;0,ورودی!H61,1/ABS(ورودی!H61)),"")</f>
        <v>1</v>
      </c>
      <c r="I61" s="31" t="n">
        <f aca="false">IF(ISNUMBER(ورودی!I61),IF(ورودی!I61&gt;0,ورودی!I61,1/ABS(ورودی!I61)),"")</f>
        <v>1</v>
      </c>
      <c r="J61" s="31" t="n">
        <f aca="false">IF(ISNUMBER(ورودی!J61),IF(ورودی!J61&gt;0,ورودی!J61,1/ABS(ورودی!J61)),"")</f>
        <v>1</v>
      </c>
      <c r="K61" s="31" t="n">
        <f aca="false">IF(ISNUMBER(ورودی!K61),IF(ورودی!K61&gt;0,ورودی!K61,1/ABS(ورودی!K61)),"")</f>
        <v>1</v>
      </c>
      <c r="L61" s="31" t="n">
        <f aca="false">IF(ISNUMBER(ورودی!L61),IF(ورودی!L61&gt;0,ورودی!L61,1/ABS(ورودی!L61)),"")</f>
        <v>1</v>
      </c>
      <c r="M61" s="31" t="n">
        <f aca="false">IF(ISNUMBER(ورودی!M61),IF(ورودی!M61&gt;0,ورودی!M61,1/ABS(ورودی!M61)),"")</f>
        <v>1</v>
      </c>
      <c r="N61" s="41" t="n">
        <f aca="false">IFERROR(GEOMEAN(G61:M61),"")</f>
        <v>1</v>
      </c>
      <c r="O61" s="29" t="n">
        <f aca="false">COUNT(G61:M61)</f>
        <v>7</v>
      </c>
    </row>
    <row r="62" customFormat="false" ht="27" hidden="false" customHeight="true" outlineLevel="0" collapsed="false">
      <c r="A62" s="29" t="n">
        <f aca="false">ورودی!A62</f>
        <v>54</v>
      </c>
      <c r="B62" s="12" t="str">
        <f aca="false">ورودی!B62</f>
        <v>ب</v>
      </c>
      <c r="C62" s="12" t="str">
        <f aca="false">ورودی!C62</f>
        <v>گ۱۳</v>
      </c>
      <c r="D62" s="9" t="str">
        <f aca="false">ورودی!D62</f>
        <v>ضعف در نظام برنامه‌ریزی و اطلاعات فروش</v>
      </c>
      <c r="E62" s="12" t="str">
        <f aca="false">ورودی!E62</f>
        <v>گ۱۴</v>
      </c>
      <c r="F62" s="9" t="str">
        <f aca="false">ورودی!F62</f>
        <v>محدودیت منابع مالی برای توزیع و ترویج محصول</v>
      </c>
      <c r="G62" s="31" t="n">
        <f aca="false">IF(ISNUMBER(ورودی!G62),IF(ورودی!G62&gt;0,ورودی!G62,1/ABS(ورودی!G62)),"")</f>
        <v>0.5</v>
      </c>
      <c r="H62" s="31" t="n">
        <f aca="false">IF(ISNUMBER(ورودی!H62),IF(ورودی!H62&gt;0,ورودی!H62,1/ABS(ورودی!H62)),"")</f>
        <v>0.5</v>
      </c>
      <c r="I62" s="31" t="n">
        <f aca="false">IF(ISNUMBER(ورودی!I62),IF(ورودی!I62&gt;0,ورودی!I62,1/ABS(ورودی!I62)),"")</f>
        <v>0.5</v>
      </c>
      <c r="J62" s="31" t="n">
        <f aca="false">IF(ISNUMBER(ورودی!J62),IF(ورودی!J62&gt;0,ورودی!J62,1/ABS(ورودی!J62)),"")</f>
        <v>0.5</v>
      </c>
      <c r="K62" s="31" t="n">
        <f aca="false">IF(ISNUMBER(ورودی!K62),IF(ورودی!K62&gt;0,ورودی!K62,1/ABS(ورودی!K62)),"")</f>
        <v>0.5</v>
      </c>
      <c r="L62" s="31" t="n">
        <f aca="false">IF(ISNUMBER(ورودی!L62),IF(ورودی!L62&gt;0,ورودی!L62,1/ABS(ورودی!L62)),"")</f>
        <v>1</v>
      </c>
      <c r="M62" s="31" t="n">
        <f aca="false">IF(ISNUMBER(ورودی!M62),IF(ورودی!M62&gt;0,ورودی!M62,1/ABS(ورودی!M62)),"")</f>
        <v>0.5</v>
      </c>
      <c r="N62" s="41" t="n">
        <f aca="false">IFERROR(GEOMEAN(G62:M62),"")</f>
        <v>0.552044756836906</v>
      </c>
      <c r="O62" s="29" t="n">
        <f aca="false">COUNT(G62:M62)</f>
        <v>7</v>
      </c>
    </row>
    <row r="63" customFormat="false" ht="27" hidden="false" customHeight="true" outlineLevel="0" collapsed="false">
      <c r="A63" s="29" t="n">
        <f aca="false">ورودی!A63</f>
        <v>55</v>
      </c>
      <c r="B63" s="12" t="str">
        <f aca="false">ورودی!B63</f>
        <v>ب</v>
      </c>
      <c r="C63" s="12" t="str">
        <f aca="false">ورودی!C63</f>
        <v>گ۱۵</v>
      </c>
      <c r="D63" s="9" t="str">
        <f aca="false">ورودی!D63</f>
        <v>هزینه بالای پخش و توزیع به ازای یک قلم کالا</v>
      </c>
      <c r="E63" s="12" t="str">
        <f aca="false">ورودی!E63</f>
        <v>گ۱۶</v>
      </c>
      <c r="F63" s="9" t="str">
        <f aca="false">ورودی!F63</f>
        <v>کوچک بودن شبکه فروش و پوشش محدود بازار</v>
      </c>
      <c r="G63" s="31" t="n">
        <f aca="false">IF(ISNUMBER(ورودی!G63),IF(ورودی!G63&gt;0,ورودی!G63,1/ABS(ورودی!G63)),"")</f>
        <v>1</v>
      </c>
      <c r="H63" s="31" t="n">
        <f aca="false">IF(ISNUMBER(ورودی!H63),IF(ورودی!H63&gt;0,ورودی!H63,1/ABS(ورودی!H63)),"")</f>
        <v>1</v>
      </c>
      <c r="I63" s="31" t="n">
        <f aca="false">IF(ISNUMBER(ورودی!I63),IF(ورودی!I63&gt;0,ورودی!I63,1/ABS(ورودی!I63)),"")</f>
        <v>2</v>
      </c>
      <c r="J63" s="31" t="n">
        <f aca="false">IF(ISNUMBER(ورودی!J63),IF(ورودی!J63&gt;0,ورودی!J63,1/ABS(ورودی!J63)),"")</f>
        <v>1</v>
      </c>
      <c r="K63" s="31" t="n">
        <f aca="false">IF(ISNUMBER(ورودی!K63),IF(ورودی!K63&gt;0,ورودی!K63,1/ABS(ورودی!K63)),"")</f>
        <v>2</v>
      </c>
      <c r="L63" s="31" t="n">
        <f aca="false">IF(ISNUMBER(ورودی!L63),IF(ورودی!L63&gt;0,ورودی!L63,1/ABS(ورودی!L63)),"")</f>
        <v>1</v>
      </c>
      <c r="M63" s="31" t="n">
        <f aca="false">IF(ISNUMBER(ورودی!M63),IF(ورودی!M63&gt;0,ورودی!M63,1/ABS(ورودی!M63)),"")</f>
        <v>2</v>
      </c>
      <c r="N63" s="41" t="n">
        <f aca="false">IFERROR(GEOMEAN(G63:M63),"")</f>
        <v>1.34590019263236</v>
      </c>
      <c r="O63" s="29" t="n">
        <f aca="false">COUNT(G63:M63)</f>
        <v>7</v>
      </c>
    </row>
    <row r="64" customFormat="false" ht="27" hidden="false" customHeight="true" outlineLevel="0" collapsed="false">
      <c r="A64" s="29" t="n">
        <f aca="false">ورودی!A64</f>
        <v>56</v>
      </c>
      <c r="B64" s="12" t="str">
        <f aca="false">ورودی!B64</f>
        <v>ب</v>
      </c>
      <c r="C64" s="12" t="str">
        <f aca="false">ورودی!C64</f>
        <v>گ۱۵</v>
      </c>
      <c r="D64" s="9" t="str">
        <f aca="false">ورودی!D64</f>
        <v>هزینه بالای پخش و توزیع به ازای یک قلم کالا</v>
      </c>
      <c r="E64" s="12" t="str">
        <f aca="false">ورودی!E64</f>
        <v>گ۱۷</v>
      </c>
      <c r="F64" s="9" t="str">
        <f aca="false">ورودی!F64</f>
        <v>کاهش قدرت چانه‌زنی در برابر شبکه توزیع و خرده‌فروشی چندمحصولی</v>
      </c>
      <c r="G64" s="31" t="n">
        <f aca="false">IF(ISNUMBER(ورودی!G64),IF(ورودی!G64&gt;0,ورودی!G64,1/ABS(ورودی!G64)),"")</f>
        <v>1</v>
      </c>
      <c r="H64" s="31" t="n">
        <f aca="false">IF(ISNUMBER(ورودی!H64),IF(ورودی!H64&gt;0,ورودی!H64,1/ABS(ورودی!H64)),"")</f>
        <v>1</v>
      </c>
      <c r="I64" s="31" t="n">
        <f aca="false">IF(ISNUMBER(ورودی!I64),IF(ورودی!I64&gt;0,ورودی!I64,1/ABS(ورودی!I64)),"")</f>
        <v>2</v>
      </c>
      <c r="J64" s="31" t="n">
        <f aca="false">IF(ISNUMBER(ورودی!J64),IF(ورودی!J64&gt;0,ورودی!J64,1/ABS(ورودی!J64)),"")</f>
        <v>1</v>
      </c>
      <c r="K64" s="31" t="n">
        <f aca="false">IF(ISNUMBER(ورودی!K64),IF(ورودی!K64&gt;0,ورودی!K64,1/ABS(ورودی!K64)),"")</f>
        <v>2</v>
      </c>
      <c r="L64" s="31" t="n">
        <f aca="false">IF(ISNUMBER(ورودی!L64),IF(ورودی!L64&gt;0,ورودی!L64,1/ABS(ورودی!L64)),"")</f>
        <v>1</v>
      </c>
      <c r="M64" s="31" t="n">
        <f aca="false">IF(ISNUMBER(ورودی!M64),IF(ورودی!M64&gt;0,ورودی!M64,1/ABS(ورودی!M64)),"")</f>
        <v>2</v>
      </c>
      <c r="N64" s="41" t="n">
        <f aca="false">IFERROR(GEOMEAN(G64:M64),"")</f>
        <v>1.34590019263236</v>
      </c>
      <c r="O64" s="29" t="n">
        <f aca="false">COUNT(G64:M64)</f>
        <v>7</v>
      </c>
    </row>
    <row r="65" customFormat="false" ht="27" hidden="false" customHeight="true" outlineLevel="0" collapsed="false">
      <c r="A65" s="29" t="n">
        <f aca="false">ورودی!A65</f>
        <v>57</v>
      </c>
      <c r="B65" s="12" t="str">
        <f aca="false">ورودی!B65</f>
        <v>ب</v>
      </c>
      <c r="C65" s="12" t="str">
        <f aca="false">ورودی!C65</f>
        <v>گ۱۵</v>
      </c>
      <c r="D65" s="9" t="str">
        <f aca="false">ورودی!D65</f>
        <v>هزینه بالای پخش و توزیع به ازای یک قلم کالا</v>
      </c>
      <c r="E65" s="12" t="str">
        <f aca="false">ورودی!E65</f>
        <v>گ۱۸</v>
      </c>
      <c r="F65" s="9" t="str">
        <f aca="false">ورودی!F65</f>
        <v>وابستگی به تعداد محدودی مشتری یا کانال فروش</v>
      </c>
      <c r="G65" s="31" t="n">
        <f aca="false">IF(ISNUMBER(ورودی!G65),IF(ورودی!G65&gt;0,ورودی!G65,1/ABS(ورودی!G65)),"")</f>
        <v>1</v>
      </c>
      <c r="H65" s="31" t="n">
        <f aca="false">IF(ISNUMBER(ورودی!H65),IF(ورودی!H65&gt;0,ورودی!H65,1/ABS(ورودی!H65)),"")</f>
        <v>1</v>
      </c>
      <c r="I65" s="31" t="n">
        <f aca="false">IF(ISNUMBER(ورودی!I65),IF(ورودی!I65&gt;0,ورودی!I65,1/ABS(ورودی!I65)),"")</f>
        <v>2</v>
      </c>
      <c r="J65" s="31" t="n">
        <f aca="false">IF(ISNUMBER(ورودی!J65),IF(ورودی!J65&gt;0,ورودی!J65,1/ABS(ورودی!J65)),"")</f>
        <v>1</v>
      </c>
      <c r="K65" s="31" t="n">
        <f aca="false">IF(ISNUMBER(ورودی!K65),IF(ورودی!K65&gt;0,ورودی!K65,1/ABS(ورودی!K65)),"")</f>
        <v>2</v>
      </c>
      <c r="L65" s="31" t="n">
        <f aca="false">IF(ISNUMBER(ورودی!L65),IF(ورودی!L65&gt;0,ورودی!L65,1/ABS(ورودی!L65)),"")</f>
        <v>1</v>
      </c>
      <c r="M65" s="31" t="n">
        <f aca="false">IF(ISNUMBER(ورودی!M65),IF(ورودی!M65&gt;0,ورودی!M65,1/ABS(ورودی!M65)),"")</f>
        <v>2</v>
      </c>
      <c r="N65" s="41" t="n">
        <f aca="false">IFERROR(GEOMEAN(G65:M65),"")</f>
        <v>1.34590019263236</v>
      </c>
      <c r="O65" s="29" t="n">
        <f aca="false">COUNT(G65:M65)</f>
        <v>7</v>
      </c>
    </row>
    <row r="66" customFormat="false" ht="27" hidden="false" customHeight="true" outlineLevel="0" collapsed="false">
      <c r="A66" s="29" t="n">
        <f aca="false">ورودی!A66</f>
        <v>58</v>
      </c>
      <c r="B66" s="12" t="str">
        <f aca="false">ورودی!B66</f>
        <v>ب</v>
      </c>
      <c r="C66" s="12" t="str">
        <f aca="false">ورودی!C66</f>
        <v>گ۱۶</v>
      </c>
      <c r="D66" s="9" t="str">
        <f aca="false">ورودی!D66</f>
        <v>کوچک بودن شبکه فروش و پوشش محدود بازار</v>
      </c>
      <c r="E66" s="12" t="str">
        <f aca="false">ورودی!E66</f>
        <v>گ۱۷</v>
      </c>
      <c r="F66" s="9" t="str">
        <f aca="false">ورودی!F66</f>
        <v>کاهش قدرت چانه‌زنی در برابر شبکه توزیع و خرده‌فروشی چندمحصولی</v>
      </c>
      <c r="G66" s="31" t="n">
        <f aca="false">IF(ISNUMBER(ورودی!G66),IF(ورودی!G66&gt;0,ورودی!G66,1/ABS(ورودی!G66)),"")</f>
        <v>1</v>
      </c>
      <c r="H66" s="31" t="n">
        <f aca="false">IF(ISNUMBER(ورودی!H66),IF(ورودی!H66&gt;0,ورودی!H66,1/ABS(ورودی!H66)),"")</f>
        <v>1</v>
      </c>
      <c r="I66" s="31" t="n">
        <f aca="false">IF(ISNUMBER(ورودی!I66),IF(ورودی!I66&gt;0,ورودی!I66,1/ABS(ورودی!I66)),"")</f>
        <v>1</v>
      </c>
      <c r="J66" s="31" t="n">
        <f aca="false">IF(ISNUMBER(ورودی!J66),IF(ورودی!J66&gt;0,ورودی!J66,1/ABS(ورودی!J66)),"")</f>
        <v>1</v>
      </c>
      <c r="K66" s="31" t="n">
        <f aca="false">IF(ISNUMBER(ورودی!K66),IF(ورودی!K66&gt;0,ورودی!K66,1/ABS(ورودی!K66)),"")</f>
        <v>1</v>
      </c>
      <c r="L66" s="31" t="n">
        <f aca="false">IF(ISNUMBER(ورودی!L66),IF(ورودی!L66&gt;0,ورودی!L66,1/ABS(ورودی!L66)),"")</f>
        <v>1</v>
      </c>
      <c r="M66" s="31" t="n">
        <f aca="false">IF(ISNUMBER(ورودی!M66),IF(ورودی!M66&gt;0,ورودی!M66,1/ABS(ورودی!M66)),"")</f>
        <v>1</v>
      </c>
      <c r="N66" s="41" t="n">
        <f aca="false">IFERROR(GEOMEAN(G66:M66),"")</f>
        <v>1</v>
      </c>
      <c r="O66" s="29" t="n">
        <f aca="false">COUNT(G66:M66)</f>
        <v>7</v>
      </c>
    </row>
    <row r="67" customFormat="false" ht="27" hidden="false" customHeight="true" outlineLevel="0" collapsed="false">
      <c r="A67" s="29" t="n">
        <f aca="false">ورودی!A67</f>
        <v>59</v>
      </c>
      <c r="B67" s="12" t="str">
        <f aca="false">ورودی!B67</f>
        <v>ب</v>
      </c>
      <c r="C67" s="12" t="str">
        <f aca="false">ورودی!C67</f>
        <v>گ۱۶</v>
      </c>
      <c r="D67" s="9" t="str">
        <f aca="false">ورودی!D67</f>
        <v>کوچک بودن شبکه فروش و پوشش محدود بازار</v>
      </c>
      <c r="E67" s="12" t="str">
        <f aca="false">ورودی!E67</f>
        <v>گ۱۸</v>
      </c>
      <c r="F67" s="9" t="str">
        <f aca="false">ورودی!F67</f>
        <v>وابستگی به تعداد محدودی مشتری یا کانال فروش</v>
      </c>
      <c r="G67" s="31" t="n">
        <f aca="false">IF(ISNUMBER(ورودی!G67),IF(ورودی!G67&gt;0,ورودی!G67,1/ABS(ورودی!G67)),"")</f>
        <v>1</v>
      </c>
      <c r="H67" s="31" t="n">
        <f aca="false">IF(ISNUMBER(ورودی!H67),IF(ورودی!H67&gt;0,ورودی!H67,1/ABS(ورودی!H67)),"")</f>
        <v>1</v>
      </c>
      <c r="I67" s="31" t="n">
        <f aca="false">IF(ISNUMBER(ورودی!I67),IF(ورودی!I67&gt;0,ورودی!I67,1/ABS(ورودی!I67)),"")</f>
        <v>1</v>
      </c>
      <c r="J67" s="31" t="n">
        <f aca="false">IF(ISNUMBER(ورودی!J67),IF(ورودی!J67&gt;0,ورودی!J67,1/ABS(ورودی!J67)),"")</f>
        <v>1</v>
      </c>
      <c r="K67" s="31" t="n">
        <f aca="false">IF(ISNUMBER(ورودی!K67),IF(ورودی!K67&gt;0,ورودی!K67,1/ABS(ورودی!K67)),"")</f>
        <v>1</v>
      </c>
      <c r="L67" s="31" t="n">
        <f aca="false">IF(ISNUMBER(ورودی!L67),IF(ورودی!L67&gt;0,ورودی!L67,1/ABS(ورودی!L67)),"")</f>
        <v>1</v>
      </c>
      <c r="M67" s="31" t="n">
        <f aca="false">IF(ISNUMBER(ورودی!M67),IF(ورودی!M67&gt;0,ورودی!M67,1/ABS(ورودی!M67)),"")</f>
        <v>1</v>
      </c>
      <c r="N67" s="41" t="n">
        <f aca="false">IFERROR(GEOMEAN(G67:M67),"")</f>
        <v>1</v>
      </c>
      <c r="O67" s="29" t="n">
        <f aca="false">COUNT(G67:M67)</f>
        <v>7</v>
      </c>
    </row>
    <row r="68" customFormat="false" ht="27" hidden="false" customHeight="true" outlineLevel="0" collapsed="false">
      <c r="A68" s="29" t="n">
        <f aca="false">ورودی!A68</f>
        <v>60</v>
      </c>
      <c r="B68" s="12" t="str">
        <f aca="false">ورودی!B68</f>
        <v>ب</v>
      </c>
      <c r="C68" s="12" t="str">
        <f aca="false">ورودی!C68</f>
        <v>گ۱۷</v>
      </c>
      <c r="D68" s="9" t="str">
        <f aca="false">ورودی!D68</f>
        <v>کاهش قدرت چانه‌زنی در برابر شبکه توزیع و خرده‌فروشی چندمحصولی</v>
      </c>
      <c r="E68" s="12" t="str">
        <f aca="false">ورودی!E68</f>
        <v>گ۱۸</v>
      </c>
      <c r="F68" s="9" t="str">
        <f aca="false">ورودی!F68</f>
        <v>وابستگی به تعداد محدودی مشتری یا کانال فروش</v>
      </c>
      <c r="G68" s="31" t="n">
        <f aca="false">IF(ISNUMBER(ورودی!G68),IF(ورودی!G68&gt;0,ورودی!G68,1/ABS(ورودی!G68)),"")</f>
        <v>1</v>
      </c>
      <c r="H68" s="31" t="n">
        <f aca="false">IF(ISNUMBER(ورودی!H68),IF(ورودی!H68&gt;0,ورودی!H68,1/ABS(ورودی!H68)),"")</f>
        <v>1</v>
      </c>
      <c r="I68" s="31" t="n">
        <f aca="false">IF(ISNUMBER(ورودی!I68),IF(ورودی!I68&gt;0,ورودی!I68,1/ABS(ورودی!I68)),"")</f>
        <v>1</v>
      </c>
      <c r="J68" s="31" t="n">
        <f aca="false">IF(ISNUMBER(ورودی!J68),IF(ورودی!J68&gt;0,ورودی!J68,1/ABS(ورودی!J68)),"")</f>
        <v>1</v>
      </c>
      <c r="K68" s="31" t="n">
        <f aca="false">IF(ISNUMBER(ورودی!K68),IF(ورودی!K68&gt;0,ورودی!K68,1/ABS(ورودی!K68)),"")</f>
        <v>1</v>
      </c>
      <c r="L68" s="31" t="n">
        <f aca="false">IF(ISNUMBER(ورودی!L68),IF(ورودی!L68&gt;0,ورودی!L68,1/ABS(ورودی!L68)),"")</f>
        <v>1</v>
      </c>
      <c r="M68" s="31" t="n">
        <f aca="false">IF(ISNUMBER(ورودی!M68),IF(ورودی!M68&gt;0,ورودی!M68,1/ABS(ورودی!M68)),"")</f>
        <v>1</v>
      </c>
      <c r="N68" s="41" t="n">
        <f aca="false">IFERROR(GEOMEAN(G68:M68),"")</f>
        <v>1</v>
      </c>
      <c r="O68" s="29" t="n">
        <f aca="false">COUNT(G68:M68)</f>
        <v>7</v>
      </c>
    </row>
    <row r="69" customFormat="false" ht="27" hidden="false" customHeight="true" outlineLevel="0" collapsed="false">
      <c r="A69" s="29" t="n">
        <f aca="false">ورودی!A69</f>
        <v>61</v>
      </c>
      <c r="B69" s="12" t="str">
        <f aca="false">ورودی!B69</f>
        <v>ب</v>
      </c>
      <c r="C69" s="12" t="str">
        <f aca="false">ورودی!C69</f>
        <v>گ۱۹</v>
      </c>
      <c r="D69" s="9" t="str">
        <f aca="false">ورودی!D69</f>
        <v>ورود رقبای جدید و افزایش شدت رقابت</v>
      </c>
      <c r="E69" s="12" t="str">
        <f aca="false">ورودی!E69</f>
        <v>گ۲۰</v>
      </c>
      <c r="F69" s="9" t="str">
        <f aca="false">ورودی!F69</f>
        <v>حضور محصولات جایگزین و برندهای رقیب دارای سبد متنوع</v>
      </c>
      <c r="G69" s="31" t="n">
        <f aca="false">IF(ISNUMBER(ورودی!G69),IF(ورودی!G69&gt;0,ورودی!G69,1/ABS(ورودی!G69)),"")</f>
        <v>2</v>
      </c>
      <c r="H69" s="31" t="n">
        <f aca="false">IF(ISNUMBER(ورودی!H69),IF(ورودی!H69&gt;0,ورودی!H69,1/ABS(ورودی!H69)),"")</f>
        <v>2</v>
      </c>
      <c r="I69" s="31" t="n">
        <f aca="false">IF(ISNUMBER(ورودی!I69),IF(ورودی!I69&gt;0,ورودی!I69,1/ABS(ورودی!I69)),"")</f>
        <v>2</v>
      </c>
      <c r="J69" s="31" t="n">
        <f aca="false">IF(ISNUMBER(ورودی!J69),IF(ورودی!J69&gt;0,ورودی!J69,1/ABS(ورودی!J69)),"")</f>
        <v>2</v>
      </c>
      <c r="K69" s="31" t="n">
        <f aca="false">IF(ISNUMBER(ورودی!K69),IF(ورودی!K69&gt;0,ورودی!K69,1/ABS(ورودی!K69)),"")</f>
        <v>2</v>
      </c>
      <c r="L69" s="31" t="n">
        <f aca="false">IF(ISNUMBER(ورودی!L69),IF(ورودی!L69&gt;0,ورودی!L69,1/ABS(ورودی!L69)),"")</f>
        <v>2</v>
      </c>
      <c r="M69" s="31" t="n">
        <f aca="false">IF(ISNUMBER(ورودی!M69),IF(ورودی!M69&gt;0,ورودی!M69,1/ABS(ورودی!M69)),"")</f>
        <v>2</v>
      </c>
      <c r="N69" s="41" t="n">
        <f aca="false">IFERROR(GEOMEAN(G69:M69),"")</f>
        <v>2</v>
      </c>
      <c r="O69" s="29" t="n">
        <f aca="false">COUNT(G69:M69)</f>
        <v>7</v>
      </c>
    </row>
    <row r="70" customFormat="false" ht="27" hidden="false" customHeight="true" outlineLevel="0" collapsed="false">
      <c r="A70" s="29" t="n">
        <f aca="false">ورودی!A70</f>
        <v>62</v>
      </c>
      <c r="B70" s="12" t="str">
        <f aca="false">ورودی!B70</f>
        <v>ب</v>
      </c>
      <c r="C70" s="12" t="str">
        <f aca="false">ورودی!C70</f>
        <v>گ۱۹</v>
      </c>
      <c r="D70" s="9" t="str">
        <f aca="false">ورودی!D70</f>
        <v>ورود رقبای جدید و افزایش شدت رقابت</v>
      </c>
      <c r="E70" s="12" t="str">
        <f aca="false">ورودی!E70</f>
        <v>گ۲۱</v>
      </c>
      <c r="F70" s="9" t="str">
        <f aca="false">ورودی!F70</f>
        <v>رقابت قیمتی و نوسان قیمت رقبا</v>
      </c>
      <c r="G70" s="31" t="n">
        <f aca="false">IF(ISNUMBER(ورودی!G70),IF(ورودی!G70&gt;0,ورودی!G70,1/ABS(ورودی!G70)),"")</f>
        <v>2</v>
      </c>
      <c r="H70" s="31" t="n">
        <f aca="false">IF(ISNUMBER(ورودی!H70),IF(ورودی!H70&gt;0,ورودی!H70,1/ABS(ورودی!H70)),"")</f>
        <v>2</v>
      </c>
      <c r="I70" s="31" t="n">
        <f aca="false">IF(ISNUMBER(ورودی!I70),IF(ورودی!I70&gt;0,ورودی!I70,1/ABS(ورودی!I70)),"")</f>
        <v>2</v>
      </c>
      <c r="J70" s="31" t="n">
        <f aca="false">IF(ISNUMBER(ورودی!J70),IF(ورودی!J70&gt;0,ورودی!J70,1/ABS(ورودی!J70)),"")</f>
        <v>2</v>
      </c>
      <c r="K70" s="31" t="n">
        <f aca="false">IF(ISNUMBER(ورودی!K70),IF(ورودی!K70&gt;0,ورودی!K70,1/ABS(ورودی!K70)),"")</f>
        <v>2</v>
      </c>
      <c r="L70" s="31" t="n">
        <f aca="false">IF(ISNUMBER(ورودی!L70),IF(ورودی!L70&gt;0,ورودی!L70,1/ABS(ورودی!L70)),"")</f>
        <v>2</v>
      </c>
      <c r="M70" s="31" t="n">
        <f aca="false">IF(ISNUMBER(ورودی!M70),IF(ورودی!M70&gt;0,ورودی!M70,1/ABS(ورودی!M70)),"")</f>
        <v>2</v>
      </c>
      <c r="N70" s="41" t="n">
        <f aca="false">IFERROR(GEOMEAN(G70:M70),"")</f>
        <v>2</v>
      </c>
      <c r="O70" s="29" t="n">
        <f aca="false">COUNT(G70:M70)</f>
        <v>7</v>
      </c>
    </row>
    <row r="71" customFormat="false" ht="27" hidden="false" customHeight="true" outlineLevel="0" collapsed="false">
      <c r="A71" s="29" t="n">
        <f aca="false">ورودی!A71</f>
        <v>63</v>
      </c>
      <c r="B71" s="12" t="str">
        <f aca="false">ورودی!B71</f>
        <v>ب</v>
      </c>
      <c r="C71" s="12" t="str">
        <f aca="false">ورودی!C71</f>
        <v>گ۲۰</v>
      </c>
      <c r="D71" s="9" t="str">
        <f aca="false">ورودی!D71</f>
        <v>حضور محصولات جایگزین و برندهای رقیب دارای سبد متنوع</v>
      </c>
      <c r="E71" s="12" t="str">
        <f aca="false">ورودی!E71</f>
        <v>گ۲۱</v>
      </c>
      <c r="F71" s="9" t="str">
        <f aca="false">ورودی!F71</f>
        <v>رقابت قیمتی و نوسان قیمت رقبا</v>
      </c>
      <c r="G71" s="31" t="n">
        <f aca="false">IF(ISNUMBER(ورودی!G71),IF(ورودی!G71&gt;0,ورودی!G71,1/ABS(ورودی!G71)),"")</f>
        <v>1</v>
      </c>
      <c r="H71" s="31" t="n">
        <f aca="false">IF(ISNUMBER(ورودی!H71),IF(ورودی!H71&gt;0,ورودی!H71,1/ABS(ورودی!H71)),"")</f>
        <v>1</v>
      </c>
      <c r="I71" s="31" t="n">
        <f aca="false">IF(ISNUMBER(ورودی!I71),IF(ورودی!I71&gt;0,ورودی!I71,1/ABS(ورودی!I71)),"")</f>
        <v>1</v>
      </c>
      <c r="J71" s="31" t="n">
        <f aca="false">IF(ISNUMBER(ورودی!J71),IF(ورودی!J71&gt;0,ورودی!J71,1/ABS(ورودی!J71)),"")</f>
        <v>1</v>
      </c>
      <c r="K71" s="31" t="n">
        <f aca="false">IF(ISNUMBER(ورودی!K71),IF(ورودی!K71&gt;0,ورودی!K71,1/ABS(ورودی!K71)),"")</f>
        <v>1</v>
      </c>
      <c r="L71" s="31" t="n">
        <f aca="false">IF(ISNUMBER(ورودی!L71),IF(ورودی!L71&gt;0,ورودی!L71,1/ABS(ورودی!L71)),"")</f>
        <v>1</v>
      </c>
      <c r="M71" s="31" t="n">
        <f aca="false">IF(ISNUMBER(ورودی!M71),IF(ورودی!M71&gt;0,ورودی!M71,1/ABS(ورودی!M71)),"")</f>
        <v>1</v>
      </c>
      <c r="N71" s="41" t="n">
        <f aca="false">IFERROR(GEOMEAN(G71:M71),"")</f>
        <v>1</v>
      </c>
      <c r="O71" s="29" t="n">
        <f aca="false">COUNT(G71:M71)</f>
        <v>7</v>
      </c>
    </row>
    <row r="72" customFormat="false" ht="27" hidden="false" customHeight="true" outlineLevel="0" collapsed="false">
      <c r="A72" s="29" t="n">
        <f aca="false">ورودی!A72</f>
        <v>64</v>
      </c>
      <c r="B72" s="12" t="str">
        <f aca="false">ورودی!B72</f>
        <v>ب</v>
      </c>
      <c r="C72" s="12" t="str">
        <f aca="false">ورودی!C72</f>
        <v>گ۲۲</v>
      </c>
      <c r="D72" s="9" t="str">
        <f aca="false">ورودی!D72</f>
        <v>تغییر سریع ذائقه و ترجیحات مصرف‌کننده در گذر زمان</v>
      </c>
      <c r="E72" s="12" t="str">
        <f aca="false">ورودی!E72</f>
        <v>گ۲۳</v>
      </c>
      <c r="F72" s="9" t="str">
        <f aca="false">ورودی!F72</f>
        <v>محدود بودن بازار هدف به یک گروه خاص از مشتریان</v>
      </c>
      <c r="G72" s="31" t="n">
        <f aca="false">IF(ISNUMBER(ورودی!G72),IF(ورودی!G72&gt;0,ورودی!G72,1/ABS(ورودی!G72)),"")</f>
        <v>1</v>
      </c>
      <c r="H72" s="31" t="n">
        <f aca="false">IF(ISNUMBER(ورودی!H72),IF(ورودی!H72&gt;0,ورودی!H72,1/ABS(ورودی!H72)),"")</f>
        <v>1</v>
      </c>
      <c r="I72" s="31" t="n">
        <f aca="false">IF(ISNUMBER(ورودی!I72),IF(ورودی!I72&gt;0,ورودی!I72,1/ABS(ورودی!I72)),"")</f>
        <v>1</v>
      </c>
      <c r="J72" s="31" t="n">
        <f aca="false">IF(ISNUMBER(ورودی!J72),IF(ورودی!J72&gt;0,ورودی!J72,1/ABS(ورودی!J72)),"")</f>
        <v>1</v>
      </c>
      <c r="K72" s="31" t="n">
        <f aca="false">IF(ISNUMBER(ورودی!K72),IF(ورودی!K72&gt;0,ورودی!K72,1/ABS(ورودی!K72)),"")</f>
        <v>1</v>
      </c>
      <c r="L72" s="31" t="n">
        <f aca="false">IF(ISNUMBER(ورودی!L72),IF(ورودی!L72&gt;0,ورودی!L72,1/ABS(ورودی!L72)),"")</f>
        <v>2</v>
      </c>
      <c r="M72" s="31" t="n">
        <f aca="false">IF(ISNUMBER(ورودی!M72),IF(ورودی!M72&gt;0,ورودی!M72,1/ABS(ورودی!M72)),"")</f>
        <v>1</v>
      </c>
      <c r="N72" s="41" t="n">
        <f aca="false">IFERROR(GEOMEAN(G72:M72),"")</f>
        <v>1.10408951367381</v>
      </c>
      <c r="O72" s="29" t="n">
        <f aca="false">COUNT(G72:M72)</f>
        <v>7</v>
      </c>
    </row>
    <row r="73" customFormat="false" ht="27" hidden="false" customHeight="true" outlineLevel="0" collapsed="false">
      <c r="A73" s="29" t="n">
        <f aca="false">ورودی!A73</f>
        <v>65</v>
      </c>
      <c r="B73" s="12" t="str">
        <f aca="false">ورودی!B73</f>
        <v>ب</v>
      </c>
      <c r="C73" s="12" t="str">
        <f aca="false">ورودی!C73</f>
        <v>گ۲۲</v>
      </c>
      <c r="D73" s="9" t="str">
        <f aca="false">ورودی!D73</f>
        <v>تغییر سریع ذائقه و ترجیحات مصرف‌کننده در گذر زمان</v>
      </c>
      <c r="E73" s="12" t="str">
        <f aca="false">ورودی!E73</f>
        <v>گ۲۴</v>
      </c>
      <c r="F73" s="9" t="str">
        <f aca="false">ورودی!F73</f>
        <v>افت ناگهانی تقاضا</v>
      </c>
      <c r="G73" s="31" t="n">
        <f aca="false">IF(ISNUMBER(ورودی!G73),IF(ورودی!G73&gt;0,ورودی!G73,1/ABS(ورودی!G73)),"")</f>
        <v>2</v>
      </c>
      <c r="H73" s="31" t="n">
        <f aca="false">IF(ISNUMBER(ورودی!H73),IF(ورودی!H73&gt;0,ورودی!H73,1/ABS(ورودی!H73)),"")</f>
        <v>2</v>
      </c>
      <c r="I73" s="31" t="n">
        <f aca="false">IF(ISNUMBER(ورودی!I73),IF(ورودی!I73&gt;0,ورودی!I73,1/ABS(ورودی!I73)),"")</f>
        <v>2</v>
      </c>
      <c r="J73" s="31" t="n">
        <f aca="false">IF(ISNUMBER(ورودی!J73),IF(ورودی!J73&gt;0,ورودی!J73,1/ABS(ورودی!J73)),"")</f>
        <v>2</v>
      </c>
      <c r="K73" s="31" t="n">
        <f aca="false">IF(ISNUMBER(ورودی!K73),IF(ورودی!K73&gt;0,ورودی!K73,1/ABS(ورودی!K73)),"")</f>
        <v>1</v>
      </c>
      <c r="L73" s="31" t="n">
        <f aca="false">IF(ISNUMBER(ورودی!L73),IF(ورودی!L73&gt;0,ورودی!L73,1/ABS(ورودی!L73)),"")</f>
        <v>2</v>
      </c>
      <c r="M73" s="31" t="n">
        <f aca="false">IF(ISNUMBER(ورودی!M73),IF(ورودی!M73&gt;0,ورودی!M73,1/ABS(ورودی!M73)),"")</f>
        <v>1</v>
      </c>
      <c r="N73" s="41" t="n">
        <f aca="false">IFERROR(GEOMEAN(G73:M73),"")</f>
        <v>1.64067071201528</v>
      </c>
      <c r="O73" s="29" t="n">
        <f aca="false">COUNT(G73:M73)</f>
        <v>7</v>
      </c>
    </row>
    <row r="74" customFormat="false" ht="27" hidden="false" customHeight="true" outlineLevel="0" collapsed="false">
      <c r="A74" s="29" t="n">
        <f aca="false">ورودی!A74</f>
        <v>66</v>
      </c>
      <c r="B74" s="12" t="str">
        <f aca="false">ورودی!B74</f>
        <v>ب</v>
      </c>
      <c r="C74" s="12" t="str">
        <f aca="false">ورودی!C74</f>
        <v>گ۲۳</v>
      </c>
      <c r="D74" s="9" t="str">
        <f aca="false">ورودی!D74</f>
        <v>محدود بودن بازار هدف به یک گروه خاص از مشتریان</v>
      </c>
      <c r="E74" s="12" t="str">
        <f aca="false">ورودی!E74</f>
        <v>گ۲۴</v>
      </c>
      <c r="F74" s="9" t="str">
        <f aca="false">ورودی!F74</f>
        <v>افت ناگهانی تقاضا</v>
      </c>
      <c r="G74" s="31" t="n">
        <f aca="false">IF(ISNUMBER(ورودی!G74),IF(ورودی!G74&gt;0,ورودی!G74,1/ABS(ورودی!G74)),"")</f>
        <v>2</v>
      </c>
      <c r="H74" s="31" t="n">
        <f aca="false">IF(ISNUMBER(ورودی!H74),IF(ورودی!H74&gt;0,ورودی!H74,1/ABS(ورودی!H74)),"")</f>
        <v>2</v>
      </c>
      <c r="I74" s="31" t="n">
        <f aca="false">IF(ISNUMBER(ورودی!I74),IF(ورودی!I74&gt;0,ورودی!I74,1/ABS(ورودی!I74)),"")</f>
        <v>2</v>
      </c>
      <c r="J74" s="31" t="n">
        <f aca="false">IF(ISNUMBER(ورودی!J74),IF(ورودی!J74&gt;0,ورودی!J74,1/ABS(ورودی!J74)),"")</f>
        <v>2</v>
      </c>
      <c r="K74" s="31" t="n">
        <f aca="false">IF(ISNUMBER(ورودی!K74),IF(ورودی!K74&gt;0,ورودی!K74,1/ABS(ورودی!K74)),"")</f>
        <v>1</v>
      </c>
      <c r="L74" s="31" t="n">
        <f aca="false">IF(ISNUMBER(ورودی!L74),IF(ورودی!L74&gt;0,ورودی!L74,1/ABS(ورودی!L74)),"")</f>
        <v>1</v>
      </c>
      <c r="M74" s="31" t="n">
        <f aca="false">IF(ISNUMBER(ورودی!M74),IF(ورودی!M74&gt;0,ورودی!M74,1/ABS(ورودی!M74)),"")</f>
        <v>1</v>
      </c>
      <c r="N74" s="41" t="n">
        <f aca="false">IFERROR(GEOMEAN(G74:M74),"")</f>
        <v>1.48599428913695</v>
      </c>
      <c r="O74" s="29" t="n">
        <f aca="false">COUNT(G74:M74)</f>
        <v>7</v>
      </c>
    </row>
    <row r="75" customFormat="false" ht="27" hidden="false" customHeight="true" outlineLevel="0" collapsed="false">
      <c r="A75" s="29" t="n">
        <f aca="false">ورودی!A75</f>
        <v>67</v>
      </c>
      <c r="B75" s="12" t="str">
        <f aca="false">ورودی!B75</f>
        <v>ب</v>
      </c>
      <c r="C75" s="12" t="str">
        <f aca="false">ورودی!C75</f>
        <v>گ۲۵</v>
      </c>
      <c r="D75" s="9" t="str">
        <f aca="false">ورودی!D75</f>
        <v>نوسان و کمبود در تأمین مواد اولیه</v>
      </c>
      <c r="E75" s="12" t="str">
        <f aca="false">ورودی!E75</f>
        <v>گ۲۶</v>
      </c>
      <c r="F75" s="9" t="str">
        <f aca="false">ورودی!F75</f>
        <v>وابستگی تأمین به واردات و اثر تحریم و محدودیت‌های اقتصادی</v>
      </c>
      <c r="G75" s="31" t="n">
        <f aca="false">IF(ISNUMBER(ورودی!G75),IF(ورودی!G75&gt;0,ورودی!G75,1/ABS(ورودی!G75)),"")</f>
        <v>2</v>
      </c>
      <c r="H75" s="31" t="n">
        <f aca="false">IF(ISNUMBER(ورودی!H75),IF(ورودی!H75&gt;0,ورودی!H75,1/ABS(ورودی!H75)),"")</f>
        <v>2</v>
      </c>
      <c r="I75" s="31" t="n">
        <f aca="false">IF(ISNUMBER(ورودی!I75),IF(ورودی!I75&gt;0,ورودی!I75,1/ABS(ورودی!I75)),"")</f>
        <v>1</v>
      </c>
      <c r="J75" s="31" t="n">
        <f aca="false">IF(ISNUMBER(ورودی!J75),IF(ورودی!J75&gt;0,ورودی!J75,1/ABS(ورودی!J75)),"")</f>
        <v>2</v>
      </c>
      <c r="K75" s="31" t="n">
        <f aca="false">IF(ISNUMBER(ورودی!K75),IF(ورودی!K75&gt;0,ورودی!K75,1/ABS(ورودی!K75)),"")</f>
        <v>1</v>
      </c>
      <c r="L75" s="31" t="n">
        <f aca="false">IF(ISNUMBER(ورودی!L75),IF(ورودی!L75&gt;0,ورودی!L75,1/ABS(ورودی!L75)),"")</f>
        <v>1</v>
      </c>
      <c r="M75" s="31" t="n">
        <f aca="false">IF(ISNUMBER(ورودی!M75),IF(ورودی!M75&gt;0,ورودی!M75,1/ABS(ورودی!M75)),"")</f>
        <v>2</v>
      </c>
      <c r="N75" s="41" t="n">
        <f aca="false">IFERROR(GEOMEAN(G75:M75),"")</f>
        <v>1.48599428913695</v>
      </c>
      <c r="O75" s="29" t="n">
        <f aca="false">COUNT(G75:M75)</f>
        <v>7</v>
      </c>
    </row>
    <row r="76" customFormat="false" ht="27" hidden="false" customHeight="true" outlineLevel="0" collapsed="false">
      <c r="A76" s="29" t="n">
        <f aca="false">ورودی!A76</f>
        <v>68</v>
      </c>
      <c r="B76" s="12" t="str">
        <f aca="false">ورودی!B76</f>
        <v>ب</v>
      </c>
      <c r="C76" s="12" t="str">
        <f aca="false">ورودی!C76</f>
        <v>گ۲۵</v>
      </c>
      <c r="D76" s="9" t="str">
        <f aca="false">ورودی!D76</f>
        <v>نوسان و کمبود در تأمین مواد اولیه</v>
      </c>
      <c r="E76" s="12" t="str">
        <f aca="false">ورودی!E76</f>
        <v>گ۲۷</v>
      </c>
      <c r="F76" s="9" t="str">
        <f aca="false">ورودی!F76</f>
        <v>ناپیوستگی عرضه و کسری محصول در بازار</v>
      </c>
      <c r="G76" s="31" t="n">
        <f aca="false">IF(ISNUMBER(ورودی!G76),IF(ورودی!G76&gt;0,ورودی!G76,1/ABS(ورودی!G76)),"")</f>
        <v>2</v>
      </c>
      <c r="H76" s="31" t="n">
        <f aca="false">IF(ISNUMBER(ورودی!H76),IF(ورودی!H76&gt;0,ورودی!H76,1/ABS(ورودی!H76)),"")</f>
        <v>2</v>
      </c>
      <c r="I76" s="31" t="n">
        <f aca="false">IF(ISNUMBER(ورودی!I76),IF(ورودی!I76&gt;0,ورودی!I76,1/ABS(ورودی!I76)),"")</f>
        <v>1</v>
      </c>
      <c r="J76" s="31" t="n">
        <f aca="false">IF(ISNUMBER(ورودی!J76),IF(ورودی!J76&gt;0,ورودی!J76,1/ABS(ورودی!J76)),"")</f>
        <v>2</v>
      </c>
      <c r="K76" s="31" t="n">
        <f aca="false">IF(ISNUMBER(ورودی!K76),IF(ورودی!K76&gt;0,ورودی!K76,1/ABS(ورودی!K76)),"")</f>
        <v>1</v>
      </c>
      <c r="L76" s="31" t="n">
        <f aca="false">IF(ISNUMBER(ورودی!L76),IF(ورودی!L76&gt;0,ورودی!L76,1/ABS(ورودی!L76)),"")</f>
        <v>1</v>
      </c>
      <c r="M76" s="31" t="n">
        <f aca="false">IF(ISNUMBER(ورودی!M76),IF(ورودی!M76&gt;0,ورودی!M76,1/ABS(ورودی!M76)),"")</f>
        <v>2</v>
      </c>
      <c r="N76" s="41" t="n">
        <f aca="false">IFERROR(GEOMEAN(G76:M76),"")</f>
        <v>1.48599428913695</v>
      </c>
      <c r="O76" s="29" t="n">
        <f aca="false">COUNT(G76:M76)</f>
        <v>7</v>
      </c>
    </row>
    <row r="77" customFormat="false" ht="27" hidden="false" customHeight="true" outlineLevel="0" collapsed="false">
      <c r="A77" s="29" t="n">
        <f aca="false">ورودی!A77</f>
        <v>69</v>
      </c>
      <c r="B77" s="12" t="str">
        <f aca="false">ورودی!B77</f>
        <v>ب</v>
      </c>
      <c r="C77" s="12" t="str">
        <f aca="false">ورودی!C77</f>
        <v>گ۲۶</v>
      </c>
      <c r="D77" s="9" t="str">
        <f aca="false">ورودی!D77</f>
        <v>وابستگی تأمین به واردات و اثر تحریم و محدودیت‌های اقتصادی</v>
      </c>
      <c r="E77" s="12" t="str">
        <f aca="false">ورودی!E77</f>
        <v>گ۲۷</v>
      </c>
      <c r="F77" s="9" t="str">
        <f aca="false">ورودی!F77</f>
        <v>ناپیوستگی عرضه و کسری محصول در بازار</v>
      </c>
      <c r="G77" s="31" t="n">
        <f aca="false">IF(ISNUMBER(ورودی!G77),IF(ورودی!G77&gt;0,ورودی!G77,1/ABS(ورودی!G77)),"")</f>
        <v>1</v>
      </c>
      <c r="H77" s="31" t="n">
        <f aca="false">IF(ISNUMBER(ورودی!H77),IF(ورودی!H77&gt;0,ورودی!H77,1/ABS(ورودی!H77)),"")</f>
        <v>1</v>
      </c>
      <c r="I77" s="31" t="n">
        <f aca="false">IF(ISNUMBER(ورودی!I77),IF(ورودی!I77&gt;0,ورودی!I77,1/ABS(ورودی!I77)),"")</f>
        <v>1</v>
      </c>
      <c r="J77" s="31" t="n">
        <f aca="false">IF(ISNUMBER(ورودی!J77),IF(ورودی!J77&gt;0,ورودی!J77,1/ABS(ورودی!J77)),"")</f>
        <v>1</v>
      </c>
      <c r="K77" s="31" t="n">
        <f aca="false">IF(ISNUMBER(ورودی!K77),IF(ورودی!K77&gt;0,ورودی!K77,1/ABS(ورودی!K77)),"")</f>
        <v>1</v>
      </c>
      <c r="L77" s="31" t="n">
        <f aca="false">IF(ISNUMBER(ورودی!L77),IF(ورودی!L77&gt;0,ورودی!L77,1/ABS(ورودی!L77)),"")</f>
        <v>1</v>
      </c>
      <c r="M77" s="31" t="n">
        <f aca="false">IF(ISNUMBER(ورودی!M77),IF(ورودی!M77&gt;0,ورودی!M77,1/ABS(ورودی!M77)),"")</f>
        <v>1</v>
      </c>
      <c r="N77" s="41" t="n">
        <f aca="false">IFERROR(GEOMEAN(G77:M77),"")</f>
        <v>1</v>
      </c>
      <c r="O77" s="29" t="n">
        <f aca="false">COUNT(G77:M77)</f>
        <v>7</v>
      </c>
    </row>
    <row r="78" customFormat="false" ht="27" hidden="false" customHeight="true" outlineLevel="0" collapsed="false">
      <c r="A78" s="29" t="n">
        <f aca="false">ورودی!A78</f>
        <v>70</v>
      </c>
      <c r="B78" s="12" t="str">
        <f aca="false">ورودی!B78</f>
        <v>ب</v>
      </c>
      <c r="C78" s="12" t="str">
        <f aca="false">ورودی!C78</f>
        <v>گ۲۸</v>
      </c>
      <c r="D78" s="9" t="str">
        <f aca="false">ورودی!D78</f>
        <v>افزایش بهای تمام‌شده و فشار بر حاشیه سود</v>
      </c>
      <c r="E78" s="12" t="str">
        <f aca="false">ورودی!E78</f>
        <v>گ۲۹</v>
      </c>
      <c r="F78" s="9" t="str">
        <f aca="false">ورودی!F78</f>
        <v>کاهش قدرت خرید و مشکلات اقتصادی مصرف‌کننده</v>
      </c>
      <c r="G78" s="31" t="n">
        <f aca="false">IF(ISNUMBER(ورودی!G78),IF(ورودی!G78&gt;0,ورودی!G78,1/ABS(ورودی!G78)),"")</f>
        <v>2</v>
      </c>
      <c r="H78" s="31" t="n">
        <f aca="false">IF(ISNUMBER(ورودی!H78),IF(ورودی!H78&gt;0,ورودی!H78,1/ABS(ورودی!H78)),"")</f>
        <v>2</v>
      </c>
      <c r="I78" s="31" t="n">
        <f aca="false">IF(ISNUMBER(ورودی!I78),IF(ورودی!I78&gt;0,ورودی!I78,1/ABS(ورودی!I78)),"")</f>
        <v>2</v>
      </c>
      <c r="J78" s="31" t="n">
        <f aca="false">IF(ISNUMBER(ورودی!J78),IF(ورودی!J78&gt;0,ورودی!J78,1/ABS(ورودی!J78)),"")</f>
        <v>2</v>
      </c>
      <c r="K78" s="31" t="n">
        <f aca="false">IF(ISNUMBER(ورودی!K78),IF(ورودی!K78&gt;0,ورودی!K78,1/ABS(ورودی!K78)),"")</f>
        <v>2</v>
      </c>
      <c r="L78" s="31" t="n">
        <f aca="false">IF(ISNUMBER(ورودی!L78),IF(ورودی!L78&gt;0,ورودی!L78,1/ABS(ورودی!L78)),"")</f>
        <v>2</v>
      </c>
      <c r="M78" s="31" t="n">
        <f aca="false">IF(ISNUMBER(ورودی!M78),IF(ورودی!M78&gt;0,ورودی!M78,1/ABS(ورودی!M78)),"")</f>
        <v>2</v>
      </c>
      <c r="N78" s="41" t="n">
        <f aca="false">IFERROR(GEOMEAN(G78:M78),"")</f>
        <v>2</v>
      </c>
      <c r="O78" s="29" t="n">
        <f aca="false">COUNT(G78:M78)</f>
        <v>7</v>
      </c>
    </row>
  </sheetData>
  <sheetProtection sheet="true" formatColumns="false" formatRows="false"/>
  <mergeCells count="1">
    <mergeCell ref="A2:O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220</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2" t="s">
        <v>221</v>
      </c>
    </row>
    <row r="3" customFormat="false" ht="15" hidden="false" customHeight="false" outlineLevel="0" collapsed="false">
      <c r="A3" s="43" t="s">
        <v>222</v>
      </c>
      <c r="B3" s="44" t="n">
        <f aca="false">COUNTIF(ورودی!G5:M5,"کامل")</f>
        <v>7</v>
      </c>
      <c r="O3" s="25" t="s">
        <v>177</v>
      </c>
      <c r="P3" s="30" t="n">
        <f aca="false">راهنما!$C$26</f>
        <v>0.1</v>
      </c>
    </row>
    <row r="5" customFormat="false" ht="15" hidden="false" customHeight="false" outlineLevel="0" collapsed="false">
      <c r="A5" s="45" t="s">
        <v>223</v>
      </c>
      <c r="B5" s="45"/>
      <c r="C5" s="45"/>
      <c r="D5" s="45"/>
      <c r="E5" s="45"/>
      <c r="F5" s="45"/>
      <c r="G5" s="45"/>
      <c r="H5" s="45"/>
      <c r="I5" s="45"/>
      <c r="J5" s="45"/>
      <c r="K5" s="45"/>
      <c r="L5" s="45"/>
      <c r="M5" s="45"/>
      <c r="Q5" s="46" t="s">
        <v>224</v>
      </c>
      <c r="R5" s="46"/>
      <c r="S5" s="46"/>
      <c r="T5" s="46"/>
      <c r="U5" s="46"/>
      <c r="V5" s="46"/>
      <c r="W5" s="46"/>
      <c r="X5" s="46"/>
      <c r="Y5" s="46"/>
      <c r="Z5" s="46"/>
      <c r="AA5" s="46"/>
    </row>
    <row r="6" customFormat="false" ht="27.75" hidden="false" customHeight="true" outlineLevel="0" collapsed="false">
      <c r="A6" s="8" t="s">
        <v>199</v>
      </c>
      <c r="B6" s="8" t="s">
        <v>225</v>
      </c>
      <c r="C6" s="8" t="s">
        <v>98</v>
      </c>
      <c r="D6" s="8" t="s">
        <v>100</v>
      </c>
      <c r="E6" s="8" t="s">
        <v>102</v>
      </c>
      <c r="F6" s="8" t="s">
        <v>104</v>
      </c>
      <c r="G6" s="8" t="s">
        <v>106</v>
      </c>
      <c r="H6" s="8" t="s">
        <v>108</v>
      </c>
      <c r="I6" s="8" t="s">
        <v>110</v>
      </c>
      <c r="J6" s="8" t="s">
        <v>112</v>
      </c>
      <c r="K6" s="8" t="s">
        <v>114</v>
      </c>
      <c r="L6" s="7" t="s">
        <v>226</v>
      </c>
      <c r="M6" s="8" t="s">
        <v>227</v>
      </c>
      <c r="Q6" s="8" t="s">
        <v>199</v>
      </c>
      <c r="R6" s="8" t="s">
        <v>98</v>
      </c>
      <c r="S6" s="8" t="s">
        <v>100</v>
      </c>
      <c r="T6" s="8" t="s">
        <v>102</v>
      </c>
      <c r="U6" s="8" t="s">
        <v>104</v>
      </c>
      <c r="V6" s="8" t="s">
        <v>106</v>
      </c>
      <c r="W6" s="8" t="s">
        <v>108</v>
      </c>
      <c r="X6" s="8" t="s">
        <v>110</v>
      </c>
      <c r="Y6" s="8" t="s">
        <v>112</v>
      </c>
      <c r="Z6" s="8" t="s">
        <v>114</v>
      </c>
      <c r="AA6" s="47" t="s">
        <v>228</v>
      </c>
    </row>
    <row r="7" customFormat="false" ht="27" hidden="false" customHeight="true" outlineLevel="0" collapsed="false">
      <c r="A7" s="19" t="s">
        <v>98</v>
      </c>
      <c r="B7" s="9" t="s">
        <v>99</v>
      </c>
      <c r="C7" s="31" t="n">
        <v>1</v>
      </c>
      <c r="D7" s="31" t="n">
        <f aca="false">نسبت!N9</f>
        <v>1.91947121957741</v>
      </c>
      <c r="E7" s="31" t="n">
        <f aca="false">نسبت!N10</f>
        <v>1.48599428913695</v>
      </c>
      <c r="F7" s="31" t="n">
        <f aca="false">نسبت!N11</f>
        <v>1.48599428913695</v>
      </c>
      <c r="G7" s="31" t="n">
        <f aca="false">نسبت!N12</f>
        <v>1.10408951367381</v>
      </c>
      <c r="H7" s="31" t="n">
        <f aca="false">نسبت!N13</f>
        <v>1</v>
      </c>
      <c r="I7" s="31" t="n">
        <f aca="false">نسبت!N14</f>
        <v>1</v>
      </c>
      <c r="J7" s="31" t="n">
        <f aca="false">نسبت!N15</f>
        <v>1.10408951367381</v>
      </c>
      <c r="K7" s="31" t="n">
        <f aca="false">نسبت!N16</f>
        <v>0.742997144568474</v>
      </c>
      <c r="L7" s="37" t="n">
        <f aca="false">IF($P$8=$P$7*($P$7-1)/2,GEOMEAN(C7:K7),"")</f>
        <v>1.1612143658983</v>
      </c>
      <c r="M7" s="36" t="n">
        <f aca="false">IF($P$8=$P$7*($P$7-1)/2,L7/SUM($L$7:$L$15),"")</f>
        <v>0.12492749575445</v>
      </c>
      <c r="O7" s="48" t="s">
        <v>229</v>
      </c>
      <c r="P7" s="11" t="n">
        <f aca="false">ROWS(A7:A15)</f>
        <v>9</v>
      </c>
      <c r="Q7" s="8" t="s">
        <v>98</v>
      </c>
      <c r="S7" s="30" t="n">
        <f aca="false">IF(AND(ISNUMBER(D7),ISNUMBER($M7),ISNUMBER($M8)),MAX(D7*$M8/$M7,$M7/(D7*$M8)),"")</f>
        <v>1.03742963858039</v>
      </c>
      <c r="T7" s="30" t="n">
        <f aca="false">IF(AND(ISNUMBER(E7),ISNUMBER($M7),ISNUMBER($M9)),MAX(E7*$M9/$M7,$M7/(E7*$M9)),"")</f>
        <v>1.00645670935226</v>
      </c>
      <c r="U7" s="30" t="n">
        <f aca="false">IF(AND(ISNUMBER(F7),ISNUMBER($M7),ISNUMBER($M10)),MAX(F7*$M10/$M7,$M7/(F7*$M10)),"")</f>
        <v>1.05173933047729</v>
      </c>
      <c r="V7" s="30" t="n">
        <f aca="false">IF(AND(ISNUMBER(G7),ISNUMBER($M7),ISNUMBER($M11)),MAX(G7*$M11/$M7,$M7/(G7*$M11)),"")</f>
        <v>1.02884892265508</v>
      </c>
      <c r="W7" s="30" t="n">
        <f aca="false">IF(AND(ISNUMBER(H7),ISNUMBER($M7),ISNUMBER($M12)),MAX(H7*$M12/$M7,$M7/(H7*$M12)),"")</f>
        <v>1.03828819498364</v>
      </c>
      <c r="X7" s="30" t="n">
        <f aca="false">IF(AND(ISNUMBER(I7),ISNUMBER($M7),ISNUMBER($M13)),MAX(I7*$M13/$M7,$M7/(I7*$M13)),"")</f>
        <v>1.05853010564852</v>
      </c>
      <c r="Y7" s="30" t="n">
        <f aca="false">IF(AND(ISNUMBER(J7),ISNUMBER($M7),ISNUMBER($M14)),MAX(J7*$M14/$M7,$M7/(J7*$M14)),"")</f>
        <v>1.03828819498364</v>
      </c>
      <c r="Z7" s="30" t="n">
        <f aca="false">IF(AND(ISNUMBER(K7),ISNUMBER($M7),ISNUMBER($M15)),MAX(K7*$M15/$M7,$M7/(K7*$M15)),"")</f>
        <v>1.08703337070941</v>
      </c>
      <c r="AA7" s="49" t="n">
        <f aca="false">IF(COUNT(R7:Z7)=0,"",MAX(R7:Z7))</f>
        <v>1.08703337070941</v>
      </c>
    </row>
    <row r="8" customFormat="false" ht="27" hidden="false" customHeight="true" outlineLevel="0" collapsed="false">
      <c r="A8" s="19" t="s">
        <v>100</v>
      </c>
      <c r="B8" s="9" t="s">
        <v>101</v>
      </c>
      <c r="C8" s="31" t="n">
        <f aca="false">IF(ISNUMBER(D7),1/D7,"")</f>
        <v>0.520976813718604</v>
      </c>
      <c r="D8" s="31" t="n">
        <v>1</v>
      </c>
      <c r="E8" s="31" t="n">
        <f aca="false">نسبت!N17</f>
        <v>0.905723664263907</v>
      </c>
      <c r="F8" s="31" t="n">
        <f aca="false">نسبت!N18</f>
        <v>0.905723664263907</v>
      </c>
      <c r="G8" s="31" t="n">
        <f aca="false">نسبت!N19</f>
        <v>0.552044756836906</v>
      </c>
      <c r="H8" s="31" t="n">
        <f aca="false">نسبت!N20</f>
        <v>0.5</v>
      </c>
      <c r="I8" s="31" t="n">
        <f aca="false">نسبت!N21</f>
        <v>0.463987848635922</v>
      </c>
      <c r="J8" s="31" t="n">
        <f aca="false">نسبت!N22</f>
        <v>0.552044756836906</v>
      </c>
      <c r="K8" s="31" t="n">
        <f aca="false">نسبت!N23</f>
        <v>0.5</v>
      </c>
      <c r="L8" s="37" t="n">
        <f aca="false">IF($P$8=$P$7*($P$7-1)/2,GEOMEAN(C8:K8),"")</f>
        <v>0.627609410154869</v>
      </c>
      <c r="M8" s="36" t="n">
        <f aca="false">IF($P$8=$P$7*($P$7-1)/2,L8/SUM($L$7:$L$15),"")</f>
        <v>0.0675204115838869</v>
      </c>
      <c r="O8" s="48" t="s">
        <v>230</v>
      </c>
      <c r="P8" s="11" t="n">
        <f aca="false">(COUNT(C7:K15)-$P$7)/2</f>
        <v>36</v>
      </c>
      <c r="Q8" s="8" t="s">
        <v>100</v>
      </c>
      <c r="T8" s="30" t="n">
        <f aca="false">IF(AND(ISNUMBER(E8),ISNUMBER($M8),ISNUMBER($M9)),MAX(E8*$M9/$M8,$M8/(E8*$M9)),"")</f>
        <v>1.12048598456427</v>
      </c>
      <c r="U8" s="30" t="n">
        <f aca="false">IF(AND(ISNUMBER(F8),ISNUMBER($M8),ISNUMBER($M10)),MAX(F8*$M10/$M8,$M8/(F8*$M10)),"")</f>
        <v>1.07224347727693</v>
      </c>
      <c r="V8" s="30" t="n">
        <f aca="false">IF(AND(ISNUMBER(G8),ISNUMBER($M8),ISNUMBER($M11)),MAX(G8*$M11/$M8,$M8/(G8*$M11)),"")</f>
        <v>1.11213792121236</v>
      </c>
      <c r="W8" s="30" t="n">
        <f aca="false">IF(AND(ISNUMBER(H8),ISNUMBER($M8),ISNUMBER($M12)),MAX(H8*$M12/$M8,$M8/(H8*$M12)),"")</f>
        <v>1.04109204010236</v>
      </c>
      <c r="X8" s="30" t="n">
        <f aca="false">IF(AND(ISNUMBER(I8),ISNUMBER($M8),ISNUMBER($M13)),MAX(I8*$M13/$M8,$M8/(I8*$M13)),"")</f>
        <v>1.10044217173738</v>
      </c>
      <c r="Y8" s="30" t="n">
        <f aca="false">IF(AND(ISNUMBER(J8),ISNUMBER($M8),ISNUMBER($M14)),MAX(J8*$M14/$M8,$M8/(J8*$M14)),"")</f>
        <v>1.04109204010236</v>
      </c>
      <c r="Z8" s="30" t="n">
        <f aca="false">IF(AND(ISNUMBER(K8),ISNUMBER($M8),ISNUMBER($M15)),MAX(K8*$M15/$M8,$M8/(K8*$M15)),"")</f>
        <v>1.14541518513102</v>
      </c>
      <c r="AA8" s="49" t="n">
        <f aca="false">IF(COUNT(R8:Z8)=0,"",MAX(R8:Z8))</f>
        <v>1.14541518513102</v>
      </c>
    </row>
    <row r="9" customFormat="false" ht="27" hidden="false" customHeight="true" outlineLevel="0" collapsed="false">
      <c r="A9" s="19" t="s">
        <v>102</v>
      </c>
      <c r="B9" s="9" t="s">
        <v>103</v>
      </c>
      <c r="C9" s="31" t="n">
        <f aca="false">IF(ISNUMBER(E7),1/E7,"")</f>
        <v>0.672950096316178</v>
      </c>
      <c r="D9" s="31" t="n">
        <f aca="false">IF(ISNUMBER(E8),1/E8,"")</f>
        <v>1.10408951367381</v>
      </c>
      <c r="E9" s="31" t="n">
        <v>1</v>
      </c>
      <c r="F9" s="31" t="n">
        <f aca="false">نسبت!N24</f>
        <v>1</v>
      </c>
      <c r="G9" s="31" t="n">
        <f aca="false">نسبت!N25</f>
        <v>0.905723664263907</v>
      </c>
      <c r="H9" s="31" t="n">
        <f aca="false">نسبت!N26</f>
        <v>0.672950096316178</v>
      </c>
      <c r="I9" s="31" t="n">
        <f aca="false">نسبت!N27</f>
        <v>0.609506827102238</v>
      </c>
      <c r="J9" s="31" t="n">
        <f aca="false">نسبت!N28</f>
        <v>0.742997144568474</v>
      </c>
      <c r="K9" s="31" t="n">
        <f aca="false">نسبت!N29</f>
        <v>0.5</v>
      </c>
      <c r="L9" s="37" t="n">
        <f aca="false">IF($P$8=$P$7*($P$7-1)/2,GEOMEAN(C9:K9),"")</f>
        <v>0.776426161317871</v>
      </c>
      <c r="M9" s="36" t="n">
        <f aca="false">IF($P$8=$P$7*($P$7-1)/2,L9/SUM($L$7:$L$15),"")</f>
        <v>0.0835306372537398</v>
      </c>
      <c r="O9" s="48" t="s">
        <v>231</v>
      </c>
      <c r="P9" s="37" t="n">
        <f aca="false">IF($P$8=$P$7*($P$7-1)/2,SUMPRODUCT(C16:K16,C17:K17),"")</f>
        <v>9.0266115055418</v>
      </c>
      <c r="Q9" s="8" t="s">
        <v>102</v>
      </c>
      <c r="U9" s="30" t="n">
        <f aca="false">IF(AND(ISNUMBER(F9),ISNUMBER($M9),ISNUMBER($M10)),MAX(F9*$M10/$M9,$M9/(F9*$M10)),"")</f>
        <v>1.04499212008252</v>
      </c>
      <c r="V9" s="30" t="n">
        <f aca="false">IF(AND(ISNUMBER(G9),ISNUMBER($M9),ISNUMBER($M11)),MAX(G9*$M11/$M9,$M9/(G9*$M11)),"")</f>
        <v>1.19248263185227</v>
      </c>
      <c r="W9" s="30" t="n">
        <f aca="false">IF(AND(ISNUMBER(H9),ISNUMBER($M9),ISNUMBER($M12)),MAX(H9*$M12/$M9,$M9/(H9*$M12)),"")</f>
        <v>1.04499212008252</v>
      </c>
      <c r="X9" s="30" t="n">
        <f aca="false">IF(AND(ISNUMBER(I9),ISNUMBER($M9),ISNUMBER($M13)),MAX(I9*$M13/$M9,$M9/(I9*$M13)),"")</f>
        <v>1.03634885388581</v>
      </c>
      <c r="Y9" s="30" t="n">
        <f aca="false">IF(AND(ISNUMBER(J9),ISNUMBER($M9),ISNUMBER($M14)),MAX(J9*$M14/$M9,$M9/(J9*$M14)),"")</f>
        <v>1.04499212008252</v>
      </c>
      <c r="Z9" s="30" t="n">
        <f aca="false">IF(AND(ISNUMBER(K9),ISNUMBER($M9),ISNUMBER($M15)),MAX(K9*$M15/$M9,$M9/(K9*$M15)),"")</f>
        <v>1.08005973889231</v>
      </c>
      <c r="AA9" s="49" t="n">
        <f aca="false">IF(COUNT(R9:Z9)=0,"",MAX(R9:Z9))</f>
        <v>1.19248263185227</v>
      </c>
    </row>
    <row r="10" customFormat="false" ht="27" hidden="false" customHeight="true" outlineLevel="0" collapsed="false">
      <c r="A10" s="19" t="s">
        <v>104</v>
      </c>
      <c r="B10" s="9" t="s">
        <v>105</v>
      </c>
      <c r="C10" s="31" t="n">
        <f aca="false">IF(ISNUMBER(F7),1/F7,"")</f>
        <v>0.672950096316178</v>
      </c>
      <c r="D10" s="31" t="n">
        <f aca="false">IF(ISNUMBER(F8),1/F8,"")</f>
        <v>1.10408951367381</v>
      </c>
      <c r="E10" s="31" t="n">
        <f aca="false">IF(ISNUMBER(F9),1/F9,"")</f>
        <v>1</v>
      </c>
      <c r="F10" s="31" t="n">
        <v>1</v>
      </c>
      <c r="G10" s="31" t="n">
        <f aca="false">نسبت!N30</f>
        <v>0.742997144568474</v>
      </c>
      <c r="H10" s="31" t="n">
        <f aca="false">نسبت!N31</f>
        <v>0.552044756836906</v>
      </c>
      <c r="I10" s="31" t="n">
        <f aca="false">نسبت!N32</f>
        <v>0.672950096316178</v>
      </c>
      <c r="J10" s="31" t="n">
        <f aca="false">نسبت!N33</f>
        <v>0.672950096316178</v>
      </c>
      <c r="K10" s="31" t="n">
        <f aca="false">نسبت!N34</f>
        <v>0.5</v>
      </c>
      <c r="L10" s="37" t="n">
        <f aca="false">IF($P$8=$P$7*($P$7-1)/2,GEOMEAN(C10:K10),"")</f>
        <v>0.742997144568474</v>
      </c>
      <c r="M10" s="36" t="n">
        <f aca="false">IF($P$8=$P$7*($P$7-1)/2,L10/SUM($L$7:$L$15),"")</f>
        <v>0.0799342269175613</v>
      </c>
      <c r="O10" s="48" t="s">
        <v>48</v>
      </c>
      <c r="P10" s="37" t="n">
        <f aca="false">IF(ISNUMBER(P9),(P9-$P$7)/($P$7-1),"")</f>
        <v>0.00332643819272516</v>
      </c>
      <c r="Q10" s="8" t="s">
        <v>104</v>
      </c>
      <c r="V10" s="30" t="n">
        <f aca="false">IF(AND(ISNUMBER(G10),ISNUMBER($M10),ISNUMBER($M11)),MAX(G10*$M11/$M10,$M10/(G10*$M11)),"")</f>
        <v>1.02224856081216</v>
      </c>
      <c r="W10" s="30" t="n">
        <f aca="false">IF(AND(ISNUMBER(H10),ISNUMBER($M10),ISNUMBER($M12)),MAX(H10*$M12/$M10,$M10/(H10*$M12)),"")</f>
        <v>1.11630414924468</v>
      </c>
      <c r="X10" s="30" t="n">
        <f aca="false">IF(AND(ISNUMBER(I10),ISNUMBER($M10),ISNUMBER($M13)),MAX(I10*$M13/$M10,$M10/(I10*$M13)),"")</f>
        <v>1.11329774460484</v>
      </c>
      <c r="Y10" s="30" t="n">
        <f aca="false">IF(AND(ISNUMBER(J10),ISNUMBER($M10),ISNUMBER($M14)),MAX(J10*$M14/$M10,$M10/(J10*$M14)),"")</f>
        <v>1.0110630844869</v>
      </c>
      <c r="Z10" s="30" t="n">
        <f aca="false">IF(AND(ISNUMBER(K10),ISNUMBER($M10),ISNUMBER($M15)),MAX(K10*$M15/$M10,$M10/(K10*$M15)),"")</f>
        <v>1.03355778300703</v>
      </c>
      <c r="AA10" s="49" t="n">
        <f aca="false">IF(COUNT(R10:Z10)=0,"",MAX(R10:Z10))</f>
        <v>1.11630414924468</v>
      </c>
    </row>
    <row r="11" customFormat="false" ht="27" hidden="false" customHeight="true" outlineLevel="0" collapsed="false">
      <c r="A11" s="19" t="s">
        <v>106</v>
      </c>
      <c r="B11" s="9" t="s">
        <v>107</v>
      </c>
      <c r="C11" s="31" t="n">
        <f aca="false">IF(ISNUMBER(G7),1/G7,"")</f>
        <v>0.905723664263907</v>
      </c>
      <c r="D11" s="31" t="n">
        <f aca="false">IF(ISNUMBER(G8),1/G8,"")</f>
        <v>1.81144732852781</v>
      </c>
      <c r="E11" s="31" t="n">
        <f aca="false">IF(ISNUMBER(G9),1/G9,"")</f>
        <v>1.10408951367381</v>
      </c>
      <c r="F11" s="31" t="n">
        <f aca="false">IF(ISNUMBER(G10),1/G10,"")</f>
        <v>1.34590019263236</v>
      </c>
      <c r="G11" s="31" t="n">
        <v>1</v>
      </c>
      <c r="H11" s="31" t="n">
        <f aca="false">نسبت!N35</f>
        <v>1</v>
      </c>
      <c r="I11" s="31" t="n">
        <f aca="false">نسبت!N36</f>
        <v>0.742997144568474</v>
      </c>
      <c r="J11" s="31" t="n">
        <f aca="false">نسبت!N37</f>
        <v>1</v>
      </c>
      <c r="K11" s="31" t="n">
        <f aca="false">نسبت!N38</f>
        <v>0.672950096316178</v>
      </c>
      <c r="L11" s="37" t="n">
        <f aca="false">IF($P$8=$P$7*($P$7-1)/2,GEOMEAN(C11:K11),"")</f>
        <v>1.02224856081216</v>
      </c>
      <c r="M11" s="36" t="n">
        <f aca="false">IF($P$8=$P$7*($P$7-1)/2,L11/SUM($L$7:$L$15),"")</f>
        <v>0.1099770692572</v>
      </c>
      <c r="O11" s="48" t="s">
        <v>232</v>
      </c>
      <c r="P11" s="30" t="n">
        <f aca="false">INDEX(راهنما!$C$29:$C$38,MATCH($P$7,راهنما!$B$29:$B$38,0))</f>
        <v>1.45</v>
      </c>
      <c r="Q11" s="8" t="s">
        <v>106</v>
      </c>
      <c r="W11" s="30" t="n">
        <f aca="false">IF(AND(ISNUMBER(H11),ISNUMBER($M11),ISNUMBER($M12)),MAX(H11*$M12/$M11,$M11/(H11*$M12)),"")</f>
        <v>1.17943444889736</v>
      </c>
      <c r="X11" s="30" t="n">
        <f aca="false">IF(AND(ISNUMBER(I11),ISNUMBER($M11),ISNUMBER($M13)),MAX(I11*$M13/$M11,$M11/(I11*$M13)),"")</f>
        <v>1.11931867252925</v>
      </c>
      <c r="Y11" s="30" t="n">
        <f aca="false">IF(AND(ISNUMBER(J11),ISNUMBER($M11),ISNUMBER($M14)),MAX(J11*$M14/$M11,$M11/(J11*$M14)),"")</f>
        <v>1.0682416908144</v>
      </c>
      <c r="Z11" s="30" t="n">
        <f aca="false">IF(AND(ISNUMBER(K11),ISNUMBER($M11),ISNUMBER($M15)),MAX(K11*$M15/$M11,$M11/(K11*$M15)),"")</f>
        <v>1.05655295619514</v>
      </c>
      <c r="AA11" s="49" t="n">
        <f aca="false">IF(COUNT(R11:Z11)=0,"",MAX(R11:Z11))</f>
        <v>1.17943444889736</v>
      </c>
    </row>
    <row r="12" customFormat="false" ht="27" hidden="false" customHeight="true" outlineLevel="0" collapsed="false">
      <c r="A12" s="19" t="s">
        <v>108</v>
      </c>
      <c r="B12" s="9" t="s">
        <v>109</v>
      </c>
      <c r="C12" s="31" t="n">
        <f aca="false">IF(ISNUMBER(H7),1/H7,"")</f>
        <v>1</v>
      </c>
      <c r="D12" s="31" t="n">
        <f aca="false">IF(ISNUMBER(H8),1/H8,"")</f>
        <v>2</v>
      </c>
      <c r="E12" s="31" t="n">
        <f aca="false">IF(ISNUMBER(H9),1/H9,"")</f>
        <v>1.48599428913695</v>
      </c>
      <c r="F12" s="31" t="n">
        <f aca="false">IF(ISNUMBER(H10),1/H10,"")</f>
        <v>1.81144732852781</v>
      </c>
      <c r="G12" s="31" t="n">
        <f aca="false">IF(ISNUMBER(H11),1/H11,"")</f>
        <v>1</v>
      </c>
      <c r="H12" s="31" t="n">
        <v>1</v>
      </c>
      <c r="I12" s="31" t="n">
        <f aca="false">نسبت!N39</f>
        <v>1</v>
      </c>
      <c r="J12" s="31" t="n">
        <f aca="false">نسبت!N40</f>
        <v>1</v>
      </c>
      <c r="K12" s="31" t="n">
        <f aca="false">نسبت!N41</f>
        <v>1</v>
      </c>
      <c r="L12" s="37" t="n">
        <f aca="false">IF($P$8=$P$7*($P$7-1)/2,GEOMEAN(C12:K12),"")</f>
        <v>1.20567516795761</v>
      </c>
      <c r="M12" s="36" t="n">
        <f aca="false">IF($P$8=$P$7*($P$7-1)/2,L12/SUM($L$7:$L$15),"")</f>
        <v>0.129710744070713</v>
      </c>
      <c r="O12" s="48" t="s">
        <v>50</v>
      </c>
      <c r="P12" s="41" t="n">
        <f aca="false">IF(ISNUMBER(P10),IF(P11=0,0,MAX(0,P10)/P11),"")</f>
        <v>0.00229409530532769</v>
      </c>
      <c r="Q12" s="8" t="s">
        <v>108</v>
      </c>
      <c r="X12" s="30" t="n">
        <f aca="false">IF(AND(ISNUMBER(I12),ISNUMBER($M12),ISNUMBER($M13)),MAX(I12*$M13/$M12,$M12/(I12*$M13)),"")</f>
        <v>1.01949546451812</v>
      </c>
      <c r="Y12" s="30" t="n">
        <f aca="false">IF(AND(ISNUMBER(J12),ISNUMBER($M12),ISNUMBER($M14)),MAX(J12*$M14/$M12,$M12/(J12*$M14)),"")</f>
        <v>1.10408951367381</v>
      </c>
      <c r="Z12" s="30" t="n">
        <f aca="false">IF(AND(ISNUMBER(K12),ISNUMBER($M12),ISNUMBER($M15)),MAX(K12*$M15/$M12,$M12/(K12*$M15)),"")</f>
        <v>1.19248263185227</v>
      </c>
      <c r="AA12" s="49" t="n">
        <f aca="false">IF(COUNT(R12:Z12)=0,"",MAX(R12:Z12))</f>
        <v>1.19248263185227</v>
      </c>
    </row>
    <row r="13" customFormat="false" ht="27" hidden="false" customHeight="true" outlineLevel="0" collapsed="false">
      <c r="A13" s="19" t="s">
        <v>110</v>
      </c>
      <c r="B13" s="9" t="s">
        <v>111</v>
      </c>
      <c r="C13" s="31" t="n">
        <f aca="false">IF(ISNUMBER(I7),1/I7,"")</f>
        <v>1</v>
      </c>
      <c r="D13" s="31" t="n">
        <f aca="false">IF(ISNUMBER(I8),1/I8,"")</f>
        <v>2.15522885553986</v>
      </c>
      <c r="E13" s="31" t="n">
        <f aca="false">IF(ISNUMBER(I9),1/I9,"")</f>
        <v>1.64067071201528</v>
      </c>
      <c r="F13" s="31" t="n">
        <f aca="false">IF(ISNUMBER(I10),1/I10,"")</f>
        <v>1.48599428913695</v>
      </c>
      <c r="G13" s="31" t="n">
        <f aca="false">IF(ISNUMBER(I11),1/I11,"")</f>
        <v>1.34590019263236</v>
      </c>
      <c r="H13" s="31" t="n">
        <f aca="false">IF(ISNUMBER(I12),1/I12,"")</f>
        <v>1</v>
      </c>
      <c r="I13" s="31" t="n">
        <v>1</v>
      </c>
      <c r="J13" s="31" t="n">
        <f aca="false">نسبت!N42</f>
        <v>1.10408951367381</v>
      </c>
      <c r="K13" s="31" t="n">
        <f aca="false">نسبت!N43</f>
        <v>0.820335356007638</v>
      </c>
      <c r="L13" s="37" t="n">
        <f aca="false">IF($P$8=$P$7*($P$7-1)/2,GEOMEAN(C13:K13),"")</f>
        <v>1.22918036541491</v>
      </c>
      <c r="M13" s="36" t="n">
        <f aca="false">IF($P$8=$P$7*($P$7-1)/2,L13/SUM($L$7:$L$15),"")</f>
        <v>0.132239515279363</v>
      </c>
      <c r="O13" s="48" t="s">
        <v>83</v>
      </c>
      <c r="P13" s="10" t="str">
        <f aca="false">IF(NOT($P$8=$P$7*($P$7-1)/2),"ناقص",IF(P12&lt;=$P$3,"سازگار","ناسازگار"))</f>
        <v>سازگار</v>
      </c>
      <c r="Q13" s="8" t="s">
        <v>110</v>
      </c>
      <c r="Y13" s="30" t="n">
        <f aca="false">IF(AND(ISNUMBER(J13),ISNUMBER($M13),ISNUMBER($M14)),MAX(J13*$M14/$M13,$M13/(J13*$M14)),"")</f>
        <v>1.01949546451812</v>
      </c>
      <c r="Z13" s="30" t="n">
        <f aca="false">IF(AND(ISNUMBER(K13),ISNUMBER($M13),ISNUMBER($M15)),MAX(K13*$M15/$M13,$M13/(K13*$M15)),"")</f>
        <v>1.04217777135817</v>
      </c>
      <c r="AA13" s="49" t="n">
        <f aca="false">IF(COUNT(R13:Z13)=0,"",MAX(R13:Z13))</f>
        <v>1.04217777135817</v>
      </c>
    </row>
    <row r="14" customFormat="false" ht="27" hidden="false" customHeight="true" outlineLevel="0" collapsed="false">
      <c r="A14" s="19" t="s">
        <v>112</v>
      </c>
      <c r="B14" s="9" t="s">
        <v>113</v>
      </c>
      <c r="C14" s="31" t="n">
        <f aca="false">IF(ISNUMBER(J7),1/J7,"")</f>
        <v>0.905723664263907</v>
      </c>
      <c r="D14" s="31" t="n">
        <f aca="false">IF(ISNUMBER(J8),1/J8,"")</f>
        <v>1.81144732852781</v>
      </c>
      <c r="E14" s="31" t="n">
        <f aca="false">IF(ISNUMBER(J9),1/J9,"")</f>
        <v>1.34590019263236</v>
      </c>
      <c r="F14" s="31" t="n">
        <f aca="false">IF(ISNUMBER(J10),1/J10,"")</f>
        <v>1.48599428913695</v>
      </c>
      <c r="G14" s="31" t="n">
        <f aca="false">IF(ISNUMBER(J11),1/J11,"")</f>
        <v>1</v>
      </c>
      <c r="H14" s="31" t="n">
        <f aca="false">IF(ISNUMBER(J12),1/J12,"")</f>
        <v>1</v>
      </c>
      <c r="I14" s="31" t="n">
        <f aca="false">IF(ISNUMBER(J13),1/J13,"")</f>
        <v>0.905723664263907</v>
      </c>
      <c r="J14" s="31" t="n">
        <v>1</v>
      </c>
      <c r="K14" s="31" t="n">
        <f aca="false">نسبت!N44</f>
        <v>0.742997144568474</v>
      </c>
      <c r="L14" s="37" t="n">
        <f aca="false">IF($P$8=$P$7*($P$7-1)/2,GEOMEAN(C14:K14),"")</f>
        <v>1.09200853103457</v>
      </c>
      <c r="M14" s="36" t="n">
        <f aca="false">IF($P$8=$P$7*($P$7-1)/2,L14/SUM($L$7:$L$15),"")</f>
        <v>0.117482090414124</v>
      </c>
      <c r="O14" s="48" t="s">
        <v>233</v>
      </c>
      <c r="P14" s="30" t="n">
        <f aca="false">IF(COUNT(AA7:AA15)=0,"",MAX(AA7:AA15))</f>
        <v>1.19248263185227</v>
      </c>
      <c r="Q14" s="8" t="s">
        <v>112</v>
      </c>
      <c r="Z14" s="30" t="n">
        <f aca="false">IF(AND(ISNUMBER(K14),ISNUMBER($M14),ISNUMBER($M15)),MAX(K14*$M15/$M14,$M14/(K14*$M15)),"")</f>
        <v>1.02224856081216</v>
      </c>
      <c r="AA14" s="49" t="n">
        <f aca="false">IF(COUNT(R14:Z14)=0,"",MAX(R14:Z14))</f>
        <v>1.02224856081216</v>
      </c>
    </row>
    <row r="15" customFormat="false" ht="27" hidden="false" customHeight="true" outlineLevel="0" collapsed="false">
      <c r="A15" s="19" t="s">
        <v>114</v>
      </c>
      <c r="B15" s="9" t="s">
        <v>115</v>
      </c>
      <c r="C15" s="31" t="n">
        <f aca="false">IF(ISNUMBER(K7),1/K7,"")</f>
        <v>1.34590019263236</v>
      </c>
      <c r="D15" s="31" t="n">
        <f aca="false">IF(ISNUMBER(K8),1/K8,"")</f>
        <v>2</v>
      </c>
      <c r="E15" s="31" t="n">
        <f aca="false">IF(ISNUMBER(K9),1/K9,"")</f>
        <v>2</v>
      </c>
      <c r="F15" s="31" t="n">
        <f aca="false">IF(ISNUMBER(K10),1/K10,"")</f>
        <v>2</v>
      </c>
      <c r="G15" s="31" t="n">
        <f aca="false">IF(ISNUMBER(K11),1/K11,"")</f>
        <v>1.48599428913695</v>
      </c>
      <c r="H15" s="31" t="n">
        <f aca="false">IF(ISNUMBER(K12),1/K12,"")</f>
        <v>1</v>
      </c>
      <c r="I15" s="31" t="n">
        <f aca="false">IF(ISNUMBER(K13),1/K13,"")</f>
        <v>1.21901365420448</v>
      </c>
      <c r="J15" s="31" t="n">
        <f aca="false">IF(ISNUMBER(K14),1/K14,"")</f>
        <v>1.34590019263236</v>
      </c>
      <c r="K15" s="31" t="n">
        <v>1</v>
      </c>
      <c r="L15" s="37" t="n">
        <f aca="false">IF($P$8=$P$7*($P$7-1)/2,GEOMEAN(C15:K15),"")</f>
        <v>1.43774669744502</v>
      </c>
      <c r="M15" s="36" t="n">
        <f aca="false">IF($P$8=$P$7*($P$7-1)/2,L15/SUM($L$7:$L$15),"")</f>
        <v>0.154677809468961</v>
      </c>
      <c r="O15" s="48" t="s">
        <v>234</v>
      </c>
      <c r="P15" s="19" t="str">
        <f aca="false">IF(ISNUMBER(P14),INDEX(A7:A15,MATCH(P14,AA7:AA15,0))&amp;" و "&amp;INDEX(C6:K6,MATCH(P14,INDEX(R7:Z15,MATCH(P14,AA7:AA15,0),0),0)),"")</f>
        <v>م۳ و م۵</v>
      </c>
      <c r="Q15" s="8" t="s">
        <v>114</v>
      </c>
    </row>
    <row r="16" customFormat="false" ht="15" hidden="false" customHeight="false" outlineLevel="0" collapsed="false">
      <c r="A16" s="50"/>
      <c r="B16" s="51" t="s">
        <v>235</v>
      </c>
      <c r="C16" s="52" t="n">
        <f aca="false">IF($P$8=$P$7*($P$7-1)/2,SUM(C7:C15),"")</f>
        <v>8.02422452751113</v>
      </c>
      <c r="D16" s="52" t="n">
        <f aca="false">IF($P$8=$P$7*($P$7-1)/2,SUM(D7:D15),"")</f>
        <v>14.9057737595205</v>
      </c>
      <c r="E16" s="52" t="n">
        <f aca="false">IF($P$8=$P$7*($P$7-1)/2,SUM(E7:E15),"")</f>
        <v>11.9683726608592</v>
      </c>
      <c r="F16" s="52" t="n">
        <f aca="false">IF($P$8=$P$7*($P$7-1)/2,SUM(F7:F15),"")</f>
        <v>12.5210540528349</v>
      </c>
      <c r="G16" s="52" t="n">
        <f aca="false">IF($P$8=$P$7*($P$7-1)/2,SUM(G7:G15),"")</f>
        <v>9.13674956111241</v>
      </c>
      <c r="H16" s="52" t="n">
        <f aca="false">IF($P$8=$P$7*($P$7-1)/2,SUM(H7:H15),"")</f>
        <v>7.72499485315309</v>
      </c>
      <c r="I16" s="52" t="n">
        <f aca="false">IF($P$8=$P$7*($P$7-1)/2,SUM(I7:I15),"")</f>
        <v>7.61417923509119</v>
      </c>
      <c r="J16" s="52" t="n">
        <f aca="false">IF($P$8=$P$7*($P$7-1)/2,SUM(J7:J15),"")</f>
        <v>8.52207121770154</v>
      </c>
      <c r="K16" s="52" t="n">
        <f aca="false">IF($P$8=$P$7*($P$7-1)/2,SUM(K7:K15),"")</f>
        <v>6.47927974146077</v>
      </c>
      <c r="M16" s="53" t="n">
        <f aca="false">IF($P$8=$P$7*($P$7-1)/2,SUM(M7:M15),"")</f>
        <v>1</v>
      </c>
    </row>
    <row r="17" customFormat="false" ht="15" hidden="false" customHeight="false" outlineLevel="0" collapsed="false">
      <c r="A17" s="50"/>
      <c r="B17" s="51" t="s">
        <v>236</v>
      </c>
      <c r="C17" s="53" t="n">
        <f aca="false">M7</f>
        <v>0.12492749575445</v>
      </c>
      <c r="D17" s="53" t="n">
        <f aca="false">M8</f>
        <v>0.0675204115838869</v>
      </c>
      <c r="E17" s="53" t="n">
        <f aca="false">M9</f>
        <v>0.0835306372537398</v>
      </c>
      <c r="F17" s="53" t="n">
        <f aca="false">M10</f>
        <v>0.0799342269175613</v>
      </c>
      <c r="G17" s="53" t="n">
        <f aca="false">M11</f>
        <v>0.1099770692572</v>
      </c>
      <c r="H17" s="53" t="n">
        <f aca="false">M12</f>
        <v>0.129710744070713</v>
      </c>
      <c r="I17" s="53" t="n">
        <f aca="false">M13</f>
        <v>0.132239515279363</v>
      </c>
      <c r="J17" s="53" t="n">
        <f aca="false">M14</f>
        <v>0.117482090414124</v>
      </c>
      <c r="K17" s="53" t="n">
        <f aca="false">M15</f>
        <v>0.154677809468961</v>
      </c>
    </row>
    <row r="19" customFormat="false" ht="15" hidden="false" customHeight="false" outlineLevel="0" collapsed="false">
      <c r="A19" s="45" t="s">
        <v>237</v>
      </c>
      <c r="B19" s="45"/>
      <c r="C19" s="45"/>
      <c r="D19" s="45"/>
      <c r="E19" s="45"/>
      <c r="F19" s="45"/>
      <c r="G19" s="45"/>
      <c r="H19" s="45"/>
      <c r="I19" s="45"/>
      <c r="J19" s="45"/>
      <c r="K19" s="45"/>
      <c r="L19" s="45"/>
      <c r="M19" s="45"/>
      <c r="Q19" s="46" t="s">
        <v>224</v>
      </c>
      <c r="R19" s="46"/>
      <c r="S19" s="46"/>
      <c r="T19" s="46"/>
      <c r="U19" s="46"/>
      <c r="V19" s="46"/>
      <c r="W19" s="46"/>
      <c r="X19" s="46"/>
      <c r="Y19" s="46"/>
      <c r="Z19" s="46"/>
      <c r="AA19" s="46"/>
    </row>
    <row r="20" customFormat="false" ht="27.75" hidden="false" customHeight="true" outlineLevel="0" collapsed="false">
      <c r="A20" s="8" t="s">
        <v>199</v>
      </c>
      <c r="B20" s="8" t="s">
        <v>225</v>
      </c>
      <c r="C20" s="8" t="s">
        <v>117</v>
      </c>
      <c r="D20" s="8" t="s">
        <v>119</v>
      </c>
      <c r="E20" s="8" t="s">
        <v>121</v>
      </c>
      <c r="L20" s="7" t="s">
        <v>226</v>
      </c>
      <c r="M20" s="8" t="s">
        <v>227</v>
      </c>
      <c r="Q20" s="8" t="s">
        <v>199</v>
      </c>
      <c r="R20" s="8" t="s">
        <v>117</v>
      </c>
      <c r="S20" s="8" t="s">
        <v>119</v>
      </c>
      <c r="T20" s="8" t="s">
        <v>121</v>
      </c>
      <c r="AA20" s="47" t="s">
        <v>228</v>
      </c>
    </row>
    <row r="21" customFormat="false" ht="27" hidden="false" customHeight="true" outlineLevel="0" collapsed="false">
      <c r="A21" s="19" t="s">
        <v>117</v>
      </c>
      <c r="B21" s="9" t="s">
        <v>118</v>
      </c>
      <c r="C21" s="31" t="n">
        <v>1</v>
      </c>
      <c r="D21" s="31" t="n">
        <f aca="false">نسبت!N45</f>
        <v>1</v>
      </c>
      <c r="E21" s="31" t="n">
        <f aca="false">نسبت!N46</f>
        <v>1.34590019263236</v>
      </c>
      <c r="L21" s="37" t="n">
        <f aca="false">IF($P$22=$P$21*($P$21-1)/2,GEOMEAN(C21:E21),"")</f>
        <v>1.10408951367381</v>
      </c>
      <c r="M21" s="36" t="n">
        <f aca="false">IF($P$22=$P$21*($P$21-1)/2,L21/SUM($L$21:$L$23),"")</f>
        <v>0.364564725114695</v>
      </c>
      <c r="O21" s="48" t="s">
        <v>229</v>
      </c>
      <c r="P21" s="11" t="n">
        <f aca="false">ROWS(A21:A23)</f>
        <v>3</v>
      </c>
      <c r="Q21" s="8" t="s">
        <v>117</v>
      </c>
      <c r="S21" s="30" t="n">
        <f aca="false">IF(AND(ISNUMBER(D21),ISNUMBER($M21),ISNUMBER($M22)),MAX(D21*$M22/$M21,$M21/(D21*$M22)),"")</f>
        <v>1</v>
      </c>
      <c r="T21" s="30" t="n">
        <f aca="false">IF(AND(ISNUMBER(E21),ISNUMBER($M21),ISNUMBER($M23)),MAX(E21*$M23/$M21,$M21/(E21*$M23)),"")</f>
        <v>1</v>
      </c>
      <c r="AA21" s="49" t="n">
        <f aca="false">IF(COUNT(R21:T21)=0,"",MAX(R21:T21))</f>
        <v>1</v>
      </c>
    </row>
    <row r="22" customFormat="false" ht="27" hidden="false" customHeight="true" outlineLevel="0" collapsed="false">
      <c r="A22" s="19" t="s">
        <v>119</v>
      </c>
      <c r="B22" s="9" t="s">
        <v>120</v>
      </c>
      <c r="C22" s="31" t="n">
        <f aca="false">IF(ISNUMBER(D21),1/D21,"")</f>
        <v>1</v>
      </c>
      <c r="D22" s="31" t="n">
        <v>1</v>
      </c>
      <c r="E22" s="31" t="n">
        <f aca="false">نسبت!N47</f>
        <v>1.34590019263236</v>
      </c>
      <c r="L22" s="37" t="n">
        <f aca="false">IF($P$22=$P$21*($P$21-1)/2,GEOMEAN(C22:E22),"")</f>
        <v>1.10408951367381</v>
      </c>
      <c r="M22" s="36" t="n">
        <f aca="false">IF($P$22=$P$21*($P$21-1)/2,L22/SUM($L$21:$L$23),"")</f>
        <v>0.364564725114695</v>
      </c>
      <c r="O22" s="48" t="s">
        <v>230</v>
      </c>
      <c r="P22" s="11" t="n">
        <f aca="false">(COUNT(C21:E23)-$P$21)/2</f>
        <v>3</v>
      </c>
      <c r="Q22" s="8" t="s">
        <v>119</v>
      </c>
      <c r="T22" s="30" t="n">
        <f aca="false">IF(AND(ISNUMBER(E22),ISNUMBER($M22),ISNUMBER($M23)),MAX(E22*$M23/$M22,$M22/(E22*$M23)),"")</f>
        <v>1</v>
      </c>
      <c r="AA22" s="49" t="n">
        <f aca="false">IF(COUNT(R22:T22)=0,"",MAX(R22:T22))</f>
        <v>1</v>
      </c>
    </row>
    <row r="23" customFormat="false" ht="27" hidden="false" customHeight="true" outlineLevel="0" collapsed="false">
      <c r="A23" s="19" t="s">
        <v>121</v>
      </c>
      <c r="B23" s="9" t="s">
        <v>122</v>
      </c>
      <c r="C23" s="31" t="n">
        <f aca="false">IF(ISNUMBER(E21),1/E21,"")</f>
        <v>0.742997144568474</v>
      </c>
      <c r="D23" s="31" t="n">
        <f aca="false">IF(ISNUMBER(E22),1/E22,"")</f>
        <v>0.742997144568474</v>
      </c>
      <c r="E23" s="31" t="n">
        <v>1</v>
      </c>
      <c r="L23" s="37" t="n">
        <f aca="false">IF($P$22=$P$21*($P$21-1)/2,GEOMEAN(C23:E23),"")</f>
        <v>0.820335356007638</v>
      </c>
      <c r="M23" s="36" t="n">
        <f aca="false">IF($P$22=$P$21*($P$21-1)/2,L23/SUM($L$21:$L$23),"")</f>
        <v>0.270870549770609</v>
      </c>
      <c r="O23" s="48" t="s">
        <v>231</v>
      </c>
      <c r="P23" s="37" t="n">
        <f aca="false">IF($P$22=$P$21*($P$21-1)/2,SUMPRODUCT(C24:E24,C25:E25),"")</f>
        <v>3</v>
      </c>
      <c r="Q23" s="8" t="s">
        <v>121</v>
      </c>
    </row>
    <row r="24" customFormat="false" ht="15" hidden="false" customHeight="false" outlineLevel="0" collapsed="false">
      <c r="A24" s="50"/>
      <c r="B24" s="51" t="s">
        <v>235</v>
      </c>
      <c r="C24" s="52" t="n">
        <f aca="false">IF($P$22=$P$21*($P$21-1)/2,SUM(C21:C23),"")</f>
        <v>2.74299714456847</v>
      </c>
      <c r="D24" s="52" t="n">
        <f aca="false">IF($P$22=$P$21*($P$21-1)/2,SUM(D21:D23),"")</f>
        <v>2.74299714456847</v>
      </c>
      <c r="E24" s="52" t="n">
        <f aca="false">IF($P$22=$P$21*($P$21-1)/2,SUM(E21:E23),"")</f>
        <v>3.69180038526471</v>
      </c>
      <c r="M24" s="53" t="n">
        <f aca="false">IF($P$22=$P$21*($P$21-1)/2,SUM(M21:M23),"")</f>
        <v>1</v>
      </c>
      <c r="O24" s="48" t="s">
        <v>48</v>
      </c>
      <c r="P24" s="37" t="n">
        <f aca="false">IF(ISNUMBER(P23),(P23-$P$21)/($P$21-1),"")</f>
        <v>0</v>
      </c>
    </row>
    <row r="25" customFormat="false" ht="15" hidden="false" customHeight="false" outlineLevel="0" collapsed="false">
      <c r="A25" s="50"/>
      <c r="B25" s="51" t="s">
        <v>236</v>
      </c>
      <c r="C25" s="53" t="n">
        <f aca="false">M21</f>
        <v>0.364564725114695</v>
      </c>
      <c r="D25" s="53" t="n">
        <f aca="false">M22</f>
        <v>0.364564725114695</v>
      </c>
      <c r="E25" s="53" t="n">
        <f aca="false">M23</f>
        <v>0.270870549770609</v>
      </c>
      <c r="O25" s="48" t="s">
        <v>232</v>
      </c>
      <c r="P25" s="30" t="n">
        <f aca="false">INDEX(راهنما!$C$29:$C$38,MATCH($P$21,راهنما!$B$29:$B$38,0))</f>
        <v>0.58</v>
      </c>
    </row>
    <row r="26" customFormat="false" ht="15" hidden="false" customHeight="false" outlineLevel="0" collapsed="false">
      <c r="O26" s="48" t="s">
        <v>50</v>
      </c>
      <c r="P26" s="41" t="n">
        <f aca="false">IF(ISNUMBER(P24),IF(P25=0,0,MAX(0,P24)/P25),"")</f>
        <v>0</v>
      </c>
    </row>
    <row r="27" customFormat="false" ht="15" hidden="false" customHeight="false" outlineLevel="0" collapsed="false">
      <c r="O27" s="48" t="s">
        <v>83</v>
      </c>
      <c r="P27" s="10" t="str">
        <f aca="false">IF(NOT($P$22=$P$21*($P$21-1)/2),"ناقص",IF(P26&lt;=$P$3,"سازگار","ناسازگار"))</f>
        <v>سازگار</v>
      </c>
    </row>
    <row r="28" customFormat="false" ht="15" hidden="false" customHeight="false" outlineLevel="0" collapsed="false">
      <c r="O28" s="48" t="s">
        <v>233</v>
      </c>
      <c r="P28" s="30" t="n">
        <f aca="false">IF(COUNT(AA21:AA23)=0,"",MAX(AA21:AA23))</f>
        <v>1</v>
      </c>
    </row>
    <row r="29" customFormat="false" ht="15" hidden="false" customHeight="false" outlineLevel="0" collapsed="false">
      <c r="O29" s="48" t="s">
        <v>234</v>
      </c>
      <c r="P29" s="19" t="str">
        <f aca="false">IF(ISNUMBER(P28),INDEX(A21:A23,MATCH(P28,AA21:AA23,0))&amp;" و "&amp;INDEX(C20:E20,MATCH(P28,INDEX(R21:T23,MATCH(P28,AA21:AA23,0),0),0)),"")</f>
        <v>گ۱ و گ۲</v>
      </c>
    </row>
    <row r="31" customFormat="false" ht="15" hidden="false" customHeight="false" outlineLevel="0" collapsed="false">
      <c r="A31" s="45" t="s">
        <v>238</v>
      </c>
      <c r="B31" s="45"/>
      <c r="C31" s="45"/>
      <c r="D31" s="45"/>
      <c r="E31" s="45"/>
      <c r="F31" s="45"/>
      <c r="G31" s="45"/>
      <c r="H31" s="45"/>
      <c r="I31" s="45"/>
      <c r="J31" s="45"/>
      <c r="K31" s="45"/>
      <c r="L31" s="45"/>
      <c r="M31" s="45"/>
      <c r="Q31" s="46" t="s">
        <v>224</v>
      </c>
      <c r="R31" s="46"/>
      <c r="S31" s="46"/>
      <c r="T31" s="46"/>
      <c r="U31" s="46"/>
      <c r="V31" s="46"/>
      <c r="W31" s="46"/>
      <c r="X31" s="46"/>
      <c r="Y31" s="46"/>
      <c r="Z31" s="46"/>
      <c r="AA31" s="46"/>
    </row>
    <row r="32" customFormat="false" ht="27.75" hidden="false" customHeight="true" outlineLevel="0" collapsed="false">
      <c r="A32" s="8" t="s">
        <v>199</v>
      </c>
      <c r="B32" s="8" t="s">
        <v>225</v>
      </c>
      <c r="C32" s="8" t="s">
        <v>123</v>
      </c>
      <c r="D32" s="8" t="s">
        <v>125</v>
      </c>
      <c r="E32" s="8" t="s">
        <v>127</v>
      </c>
      <c r="F32" s="8" t="s">
        <v>129</v>
      </c>
      <c r="L32" s="7" t="s">
        <v>226</v>
      </c>
      <c r="M32" s="8" t="s">
        <v>227</v>
      </c>
      <c r="Q32" s="8" t="s">
        <v>199</v>
      </c>
      <c r="R32" s="8" t="s">
        <v>123</v>
      </c>
      <c r="S32" s="8" t="s">
        <v>125</v>
      </c>
      <c r="T32" s="8" t="s">
        <v>127</v>
      </c>
      <c r="U32" s="8" t="s">
        <v>129</v>
      </c>
      <c r="AA32" s="47" t="s">
        <v>228</v>
      </c>
    </row>
    <row r="33" customFormat="false" ht="27" hidden="false" customHeight="true" outlineLevel="0" collapsed="false">
      <c r="A33" s="19" t="s">
        <v>123</v>
      </c>
      <c r="B33" s="9" t="s">
        <v>124</v>
      </c>
      <c r="C33" s="31" t="n">
        <v>1</v>
      </c>
      <c r="D33" s="31" t="n">
        <f aca="false">نسبت!N48</f>
        <v>1</v>
      </c>
      <c r="E33" s="31" t="n">
        <f aca="false">نسبت!N49</f>
        <v>1.81144732852781</v>
      </c>
      <c r="F33" s="31" t="n">
        <f aca="false">نسبت!N50</f>
        <v>1.81144732852781</v>
      </c>
      <c r="L33" s="37" t="n">
        <f aca="false">IF($P$34=$P$33*($P$33-1)/2,GEOMEAN(C33:F33),"")</f>
        <v>1.34590019263236</v>
      </c>
      <c r="M33" s="36" t="n">
        <f aca="false">IF($P$34=$P$33*($P$33-1)/2,L33/SUM($L$33:$L$36),"")</f>
        <v>0.322155658074583</v>
      </c>
      <c r="O33" s="48" t="s">
        <v>229</v>
      </c>
      <c r="P33" s="11" t="n">
        <f aca="false">ROWS(A33:A36)</f>
        <v>4</v>
      </c>
      <c r="Q33" s="8" t="s">
        <v>123</v>
      </c>
      <c r="S33" s="30" t="n">
        <f aca="false">IF(AND(ISNUMBER(D33),ISNUMBER($M33),ISNUMBER($M34)),MAX(D33*$M34/$M33,$M33/(D33*$M34)),"")</f>
        <v>1</v>
      </c>
      <c r="T33" s="30" t="n">
        <f aca="false">IF(AND(ISNUMBER(E33),ISNUMBER($M33),ISNUMBER($M35)),MAX(E33*$M35/$M33,$M33/(E33*$M35)),"")</f>
        <v>1</v>
      </c>
      <c r="U33" s="30" t="n">
        <f aca="false">IF(AND(ISNUMBER(F33),ISNUMBER($M33),ISNUMBER($M36)),MAX(F33*$M36/$M33,$M33/(F33*$M36)),"")</f>
        <v>1</v>
      </c>
      <c r="AA33" s="49" t="n">
        <f aca="false">IF(COUNT(R33:U33)=0,"",MAX(R33:U33))</f>
        <v>1</v>
      </c>
    </row>
    <row r="34" customFormat="false" ht="27" hidden="false" customHeight="true" outlineLevel="0" collapsed="false">
      <c r="A34" s="19" t="s">
        <v>125</v>
      </c>
      <c r="B34" s="9" t="s">
        <v>126</v>
      </c>
      <c r="C34" s="31" t="n">
        <f aca="false">IF(ISNUMBER(D33),1/D33,"")</f>
        <v>1</v>
      </c>
      <c r="D34" s="31" t="n">
        <v>1</v>
      </c>
      <c r="E34" s="31" t="n">
        <f aca="false">نسبت!N51</f>
        <v>1.81144732852781</v>
      </c>
      <c r="F34" s="31" t="n">
        <f aca="false">نسبت!N52</f>
        <v>1.81144732852781</v>
      </c>
      <c r="L34" s="37" t="n">
        <f aca="false">IF($P$34=$P$33*($P$33-1)/2,GEOMEAN(C34:F34),"")</f>
        <v>1.34590019263236</v>
      </c>
      <c r="M34" s="36" t="n">
        <f aca="false">IF($P$34=$P$33*($P$33-1)/2,L34/SUM($L$33:$L$36),"")</f>
        <v>0.322155658074583</v>
      </c>
      <c r="O34" s="48" t="s">
        <v>230</v>
      </c>
      <c r="P34" s="11" t="n">
        <f aca="false">(COUNT(C33:F36)-$P$33)/2</f>
        <v>6</v>
      </c>
      <c r="Q34" s="8" t="s">
        <v>125</v>
      </c>
      <c r="T34" s="30" t="n">
        <f aca="false">IF(AND(ISNUMBER(E34),ISNUMBER($M34),ISNUMBER($M35)),MAX(E34*$M35/$M34,$M34/(E34*$M35)),"")</f>
        <v>1</v>
      </c>
      <c r="U34" s="30" t="n">
        <f aca="false">IF(AND(ISNUMBER(F34),ISNUMBER($M34),ISNUMBER($M36)),MAX(F34*$M36/$M34,$M34/(F34*$M36)),"")</f>
        <v>1</v>
      </c>
      <c r="AA34" s="49" t="n">
        <f aca="false">IF(COUNT(R34:U34)=0,"",MAX(R34:U34))</f>
        <v>1</v>
      </c>
    </row>
    <row r="35" customFormat="false" ht="27" hidden="false" customHeight="true" outlineLevel="0" collapsed="false">
      <c r="A35" s="19" t="s">
        <v>127</v>
      </c>
      <c r="B35" s="9" t="s">
        <v>128</v>
      </c>
      <c r="C35" s="31" t="n">
        <f aca="false">IF(ISNUMBER(E33),1/E33,"")</f>
        <v>0.552044756836906</v>
      </c>
      <c r="D35" s="31" t="n">
        <f aca="false">IF(ISNUMBER(E34),1/E34,"")</f>
        <v>0.552044756836906</v>
      </c>
      <c r="E35" s="31" t="n">
        <v>1</v>
      </c>
      <c r="F35" s="31" t="n">
        <f aca="false">نسبت!N53</f>
        <v>1</v>
      </c>
      <c r="L35" s="37" t="n">
        <f aca="false">IF($P$34=$P$33*($P$33-1)/2,GEOMEAN(C35:F35),"")</f>
        <v>0.742997144568474</v>
      </c>
      <c r="M35" s="36" t="n">
        <f aca="false">IF($P$34=$P$33*($P$33-1)/2,L35/SUM($L$33:$L$36),"")</f>
        <v>0.177844341925417</v>
      </c>
      <c r="O35" s="48" t="s">
        <v>231</v>
      </c>
      <c r="P35" s="37" t="n">
        <f aca="false">IF($P$34=$P$33*($P$33-1)/2,SUMPRODUCT(C37:F37,C38:F38),"")</f>
        <v>4</v>
      </c>
      <c r="Q35" s="8" t="s">
        <v>127</v>
      </c>
      <c r="U35" s="30" t="n">
        <f aca="false">IF(AND(ISNUMBER(F35),ISNUMBER($M35),ISNUMBER($M36)),MAX(F35*$M36/$M35,$M35/(F35*$M36)),"")</f>
        <v>1</v>
      </c>
      <c r="AA35" s="49" t="n">
        <f aca="false">IF(COUNT(R35:U35)=0,"",MAX(R35:U35))</f>
        <v>1</v>
      </c>
    </row>
    <row r="36" customFormat="false" ht="27" hidden="false" customHeight="true" outlineLevel="0" collapsed="false">
      <c r="A36" s="19" t="s">
        <v>129</v>
      </c>
      <c r="B36" s="9" t="s">
        <v>130</v>
      </c>
      <c r="C36" s="31" t="n">
        <f aca="false">IF(ISNUMBER(F33),1/F33,"")</f>
        <v>0.552044756836906</v>
      </c>
      <c r="D36" s="31" t="n">
        <f aca="false">IF(ISNUMBER(F34),1/F34,"")</f>
        <v>0.552044756836906</v>
      </c>
      <c r="E36" s="31" t="n">
        <f aca="false">IF(ISNUMBER(F35),1/F35,"")</f>
        <v>1</v>
      </c>
      <c r="F36" s="31" t="n">
        <v>1</v>
      </c>
      <c r="L36" s="37" t="n">
        <f aca="false">IF($P$34=$P$33*($P$33-1)/2,GEOMEAN(C36:F36),"")</f>
        <v>0.742997144568474</v>
      </c>
      <c r="M36" s="36" t="n">
        <f aca="false">IF($P$34=$P$33*($P$33-1)/2,L36/SUM($L$33:$L$36),"")</f>
        <v>0.177844341925417</v>
      </c>
      <c r="O36" s="48" t="s">
        <v>48</v>
      </c>
      <c r="P36" s="37" t="n">
        <f aca="false">IF(ISNUMBER(P35),(P35-$P$33)/($P$33-1),"")</f>
        <v>0</v>
      </c>
      <c r="Q36" s="8" t="s">
        <v>129</v>
      </c>
    </row>
    <row r="37" customFormat="false" ht="15" hidden="false" customHeight="false" outlineLevel="0" collapsed="false">
      <c r="A37" s="50"/>
      <c r="B37" s="51" t="s">
        <v>235</v>
      </c>
      <c r="C37" s="52" t="n">
        <f aca="false">IF($P$34=$P$33*($P$33-1)/2,SUM(C33:C36),"")</f>
        <v>3.10408951367381</v>
      </c>
      <c r="D37" s="52" t="n">
        <f aca="false">IF($P$34=$P$33*($P$33-1)/2,SUM(D33:D36),"")</f>
        <v>3.10408951367381</v>
      </c>
      <c r="E37" s="52" t="n">
        <f aca="false">IF($P$34=$P$33*($P$33-1)/2,SUM(E33:E36),"")</f>
        <v>5.62289465705563</v>
      </c>
      <c r="F37" s="52" t="n">
        <f aca="false">IF($P$34=$P$33*($P$33-1)/2,SUM(F33:F36),"")</f>
        <v>5.62289465705563</v>
      </c>
      <c r="M37" s="53" t="n">
        <f aca="false">IF($P$34=$P$33*($P$33-1)/2,SUM(M33:M36),"")</f>
        <v>1</v>
      </c>
      <c r="O37" s="48" t="s">
        <v>232</v>
      </c>
      <c r="P37" s="30" t="n">
        <f aca="false">INDEX(راهنما!$C$29:$C$38,MATCH($P$33,راهنما!$B$29:$B$38,0))</f>
        <v>0.9</v>
      </c>
    </row>
    <row r="38" customFormat="false" ht="15" hidden="false" customHeight="false" outlineLevel="0" collapsed="false">
      <c r="A38" s="50"/>
      <c r="B38" s="51" t="s">
        <v>236</v>
      </c>
      <c r="C38" s="53" t="n">
        <f aca="false">M33</f>
        <v>0.322155658074583</v>
      </c>
      <c r="D38" s="53" t="n">
        <f aca="false">M34</f>
        <v>0.322155658074583</v>
      </c>
      <c r="E38" s="53" t="n">
        <f aca="false">M35</f>
        <v>0.177844341925417</v>
      </c>
      <c r="F38" s="53" t="n">
        <f aca="false">M36</f>
        <v>0.177844341925417</v>
      </c>
      <c r="O38" s="48" t="s">
        <v>50</v>
      </c>
      <c r="P38" s="41" t="n">
        <f aca="false">IF(ISNUMBER(P36),IF(P37=0,0,MAX(0,P36)/P37),"")</f>
        <v>0</v>
      </c>
    </row>
    <row r="39" customFormat="false" ht="15" hidden="false" customHeight="false" outlineLevel="0" collapsed="false">
      <c r="O39" s="48" t="s">
        <v>83</v>
      </c>
      <c r="P39" s="10" t="str">
        <f aca="false">IF(NOT($P$34=$P$33*($P$33-1)/2),"ناقص",IF(P38&lt;=$P$3,"سازگار","ناسازگار"))</f>
        <v>سازگار</v>
      </c>
    </row>
    <row r="40" customFormat="false" ht="15" hidden="false" customHeight="false" outlineLevel="0" collapsed="false">
      <c r="O40" s="48" t="s">
        <v>233</v>
      </c>
      <c r="P40" s="30" t="n">
        <f aca="false">IF(COUNT(AA33:AA36)=0,"",MAX(AA33:AA36))</f>
        <v>1</v>
      </c>
    </row>
    <row r="41" customFormat="false" ht="15" hidden="false" customHeight="false" outlineLevel="0" collapsed="false">
      <c r="O41" s="48" t="s">
        <v>234</v>
      </c>
      <c r="P41" s="19" t="str">
        <f aca="false">IF(ISNUMBER(P40),INDEX(A33:A36,MATCH(P40,AA33:AA36,0))&amp;" و "&amp;INDEX(C32:F32,MATCH(P40,INDEX(R33:U36,MATCH(P40,AA33:AA36,0),0),0)),"")</f>
        <v>گ۴ و گ۵</v>
      </c>
    </row>
    <row r="43" customFormat="false" ht="15" hidden="false" customHeight="false" outlineLevel="0" collapsed="false">
      <c r="A43" s="45" t="s">
        <v>239</v>
      </c>
      <c r="B43" s="45"/>
      <c r="C43" s="45"/>
      <c r="D43" s="45"/>
      <c r="E43" s="45"/>
      <c r="F43" s="45"/>
      <c r="G43" s="45"/>
      <c r="H43" s="45"/>
      <c r="I43" s="45"/>
      <c r="J43" s="45"/>
      <c r="K43" s="45"/>
      <c r="L43" s="45"/>
      <c r="M43" s="45"/>
      <c r="Q43" s="46" t="s">
        <v>224</v>
      </c>
      <c r="R43" s="46"/>
      <c r="S43" s="46"/>
      <c r="T43" s="46"/>
      <c r="U43" s="46"/>
      <c r="V43" s="46"/>
      <c r="W43" s="46"/>
      <c r="X43" s="46"/>
      <c r="Y43" s="46"/>
      <c r="Z43" s="46"/>
      <c r="AA43" s="46"/>
    </row>
    <row r="44" customFormat="false" ht="27.75" hidden="false" customHeight="true" outlineLevel="0" collapsed="false">
      <c r="A44" s="8" t="s">
        <v>199</v>
      </c>
      <c r="B44" s="8" t="s">
        <v>225</v>
      </c>
      <c r="C44" s="8" t="s">
        <v>131</v>
      </c>
      <c r="D44" s="8" t="s">
        <v>133</v>
      </c>
      <c r="E44" s="8" t="s">
        <v>135</v>
      </c>
      <c r="L44" s="7" t="s">
        <v>226</v>
      </c>
      <c r="M44" s="8" t="s">
        <v>227</v>
      </c>
      <c r="Q44" s="8" t="s">
        <v>199</v>
      </c>
      <c r="R44" s="8" t="s">
        <v>131</v>
      </c>
      <c r="S44" s="8" t="s">
        <v>133</v>
      </c>
      <c r="T44" s="8" t="s">
        <v>135</v>
      </c>
      <c r="AA44" s="47" t="s">
        <v>228</v>
      </c>
    </row>
    <row r="45" customFormat="false" ht="27" hidden="false" customHeight="true" outlineLevel="0" collapsed="false">
      <c r="A45" s="19" t="s">
        <v>131</v>
      </c>
      <c r="B45" s="9" t="s">
        <v>132</v>
      </c>
      <c r="C45" s="31" t="n">
        <v>1</v>
      </c>
      <c r="D45" s="31" t="n">
        <f aca="false">نسبت!N54</f>
        <v>1</v>
      </c>
      <c r="E45" s="31" t="n">
        <f aca="false">نسبت!N55</f>
        <v>1.48599428913695</v>
      </c>
      <c r="L45" s="37" t="n">
        <f aca="false">IF($P$46=$P$45*($P$45-1)/2,GEOMEAN(C45:E45),"")</f>
        <v>1.14114030999401</v>
      </c>
      <c r="M45" s="36" t="n">
        <f aca="false">IF($P$46=$P$45*($P$45-1)/2,L45/SUM($L$45:$L$47),"")</f>
        <v>0.37411846984281</v>
      </c>
      <c r="O45" s="48" t="s">
        <v>229</v>
      </c>
      <c r="P45" s="11" t="n">
        <f aca="false">ROWS(A45:A47)</f>
        <v>3</v>
      </c>
      <c r="Q45" s="8" t="s">
        <v>131</v>
      </c>
      <c r="S45" s="30" t="n">
        <f aca="false">IF(AND(ISNUMBER(D45),ISNUMBER($M45),ISNUMBER($M46)),MAX(D45*$M46/$M45,$M45/(D45*$M46)),"")</f>
        <v>1</v>
      </c>
      <c r="T45" s="30" t="n">
        <f aca="false">IF(AND(ISNUMBER(E45),ISNUMBER($M45),ISNUMBER($M47)),MAX(E45*$M47/$M45,$M45/(E45*$M47)),"")</f>
        <v>1</v>
      </c>
      <c r="AA45" s="49" t="n">
        <f aca="false">IF(COUNT(R45:T45)=0,"",MAX(R45:T45))</f>
        <v>1</v>
      </c>
    </row>
    <row r="46" customFormat="false" ht="27" hidden="false" customHeight="true" outlineLevel="0" collapsed="false">
      <c r="A46" s="19" t="s">
        <v>133</v>
      </c>
      <c r="B46" s="9" t="s">
        <v>134</v>
      </c>
      <c r="C46" s="31" t="n">
        <f aca="false">IF(ISNUMBER(D45),1/D45,"")</f>
        <v>1</v>
      </c>
      <c r="D46" s="31" t="n">
        <v>1</v>
      </c>
      <c r="E46" s="31" t="n">
        <f aca="false">نسبت!N56</f>
        <v>1.48599428913695</v>
      </c>
      <c r="L46" s="37" t="n">
        <f aca="false">IF($P$46=$P$45*($P$45-1)/2,GEOMEAN(C46:E46),"")</f>
        <v>1.14114030999401</v>
      </c>
      <c r="M46" s="36" t="n">
        <f aca="false">IF($P$46=$P$45*($P$45-1)/2,L46/SUM($L$45:$L$47),"")</f>
        <v>0.37411846984281</v>
      </c>
      <c r="O46" s="48" t="s">
        <v>230</v>
      </c>
      <c r="P46" s="11" t="n">
        <f aca="false">(COUNT(C45:E47)-$P$45)/2</f>
        <v>3</v>
      </c>
      <c r="Q46" s="8" t="s">
        <v>133</v>
      </c>
      <c r="T46" s="30" t="n">
        <f aca="false">IF(AND(ISNUMBER(E46),ISNUMBER($M46),ISNUMBER($M47)),MAX(E46*$M47/$M46,$M46/(E46*$M47)),"")</f>
        <v>1</v>
      </c>
      <c r="AA46" s="49" t="n">
        <f aca="false">IF(COUNT(R46:T46)=0,"",MAX(R46:T46))</f>
        <v>1</v>
      </c>
    </row>
    <row r="47" customFormat="false" ht="27" hidden="false" customHeight="true" outlineLevel="0" collapsed="false">
      <c r="A47" s="19" t="s">
        <v>135</v>
      </c>
      <c r="B47" s="9" t="s">
        <v>136</v>
      </c>
      <c r="C47" s="31" t="n">
        <f aca="false">IF(ISNUMBER(E45),1/E45,"")</f>
        <v>0.672950096316178</v>
      </c>
      <c r="D47" s="31" t="n">
        <f aca="false">IF(ISNUMBER(E46),1/E46,"")</f>
        <v>0.672950096316178</v>
      </c>
      <c r="E47" s="31" t="n">
        <v>1</v>
      </c>
      <c r="L47" s="37" t="n">
        <f aca="false">IF($P$46=$P$45*($P$45-1)/2,GEOMEAN(C47:E47),"")</f>
        <v>0.767930481520744</v>
      </c>
      <c r="M47" s="36" t="n">
        <f aca="false">IF($P$46=$P$45*($P$45-1)/2,L47/SUM($L$45:$L$47),"")</f>
        <v>0.25176306031438</v>
      </c>
      <c r="O47" s="48" t="s">
        <v>231</v>
      </c>
      <c r="P47" s="37" t="n">
        <f aca="false">IF($P$46=$P$45*($P$45-1)/2,SUMPRODUCT(C48:E48,C49:E49),"")</f>
        <v>3</v>
      </c>
      <c r="Q47" s="8" t="s">
        <v>135</v>
      </c>
    </row>
    <row r="48" customFormat="false" ht="15" hidden="false" customHeight="false" outlineLevel="0" collapsed="false">
      <c r="A48" s="50"/>
      <c r="B48" s="51" t="s">
        <v>235</v>
      </c>
      <c r="C48" s="52" t="n">
        <f aca="false">IF($P$46=$P$45*($P$45-1)/2,SUM(C45:C47),"")</f>
        <v>2.67295009631618</v>
      </c>
      <c r="D48" s="52" t="n">
        <f aca="false">IF($P$46=$P$45*($P$45-1)/2,SUM(D45:D47),"")</f>
        <v>2.67295009631618</v>
      </c>
      <c r="E48" s="52" t="n">
        <f aca="false">IF($P$46=$P$45*($P$45-1)/2,SUM(E45:E47),"")</f>
        <v>3.9719885782739</v>
      </c>
      <c r="M48" s="53" t="n">
        <f aca="false">IF($P$46=$P$45*($P$45-1)/2,SUM(M45:M47),"")</f>
        <v>1</v>
      </c>
      <c r="O48" s="48" t="s">
        <v>48</v>
      </c>
      <c r="P48" s="37" t="n">
        <f aca="false">IF(ISNUMBER(P47),(P47-$P$45)/($P$45-1),"")</f>
        <v>0</v>
      </c>
    </row>
    <row r="49" customFormat="false" ht="15" hidden="false" customHeight="false" outlineLevel="0" collapsed="false">
      <c r="A49" s="50"/>
      <c r="B49" s="51" t="s">
        <v>236</v>
      </c>
      <c r="C49" s="53" t="n">
        <f aca="false">M45</f>
        <v>0.37411846984281</v>
      </c>
      <c r="D49" s="53" t="n">
        <f aca="false">M46</f>
        <v>0.37411846984281</v>
      </c>
      <c r="E49" s="53" t="n">
        <f aca="false">M47</f>
        <v>0.25176306031438</v>
      </c>
      <c r="O49" s="48" t="s">
        <v>232</v>
      </c>
      <c r="P49" s="30" t="n">
        <f aca="false">INDEX(راهنما!$C$29:$C$38,MATCH($P$45,راهنما!$B$29:$B$38,0))</f>
        <v>0.58</v>
      </c>
    </row>
    <row r="50" customFormat="false" ht="15" hidden="false" customHeight="false" outlineLevel="0" collapsed="false">
      <c r="O50" s="48" t="s">
        <v>50</v>
      </c>
      <c r="P50" s="41" t="n">
        <f aca="false">IF(ISNUMBER(P48),IF(P49=0,0,MAX(0,P48)/P49),"")</f>
        <v>0</v>
      </c>
    </row>
    <row r="51" customFormat="false" ht="15" hidden="false" customHeight="false" outlineLevel="0" collapsed="false">
      <c r="O51" s="48" t="s">
        <v>83</v>
      </c>
      <c r="P51" s="10" t="str">
        <f aca="false">IF(NOT($P$46=$P$45*($P$45-1)/2),"ناقص",IF(P50&lt;=$P$3,"سازگار","ناسازگار"))</f>
        <v>سازگار</v>
      </c>
    </row>
    <row r="52" customFormat="false" ht="15" hidden="false" customHeight="false" outlineLevel="0" collapsed="false">
      <c r="O52" s="48" t="s">
        <v>233</v>
      </c>
      <c r="P52" s="30" t="n">
        <f aca="false">IF(COUNT(AA45:AA47)=0,"",MAX(AA45:AA47))</f>
        <v>1</v>
      </c>
    </row>
    <row r="53" customFormat="false" ht="15" hidden="false" customHeight="false" outlineLevel="0" collapsed="false">
      <c r="O53" s="48" t="s">
        <v>234</v>
      </c>
      <c r="P53" s="19" t="str">
        <f aca="false">IF(ISNUMBER(P52),INDEX(A45:A47,MATCH(P52,AA45:AA47,0))&amp;" و "&amp;INDEX(C44:E44,MATCH(P52,INDEX(R45:T47,MATCH(P52,AA45:AA47,0),0),0)),"")</f>
        <v>گ۸ و گ۹</v>
      </c>
    </row>
    <row r="55" customFormat="false" ht="15" hidden="false" customHeight="false" outlineLevel="0" collapsed="false">
      <c r="A55" s="45" t="s">
        <v>240</v>
      </c>
      <c r="B55" s="45"/>
      <c r="C55" s="45"/>
      <c r="D55" s="45"/>
      <c r="E55" s="45"/>
      <c r="F55" s="45"/>
      <c r="G55" s="45"/>
      <c r="H55" s="45"/>
      <c r="I55" s="45"/>
      <c r="J55" s="45"/>
      <c r="K55" s="45"/>
      <c r="L55" s="45"/>
      <c r="M55" s="45"/>
      <c r="Q55" s="46" t="s">
        <v>224</v>
      </c>
      <c r="R55" s="46"/>
      <c r="S55" s="46"/>
      <c r="T55" s="46"/>
      <c r="U55" s="46"/>
      <c r="V55" s="46"/>
      <c r="W55" s="46"/>
      <c r="X55" s="46"/>
      <c r="Y55" s="46"/>
      <c r="Z55" s="46"/>
      <c r="AA55" s="46"/>
    </row>
    <row r="56" customFormat="false" ht="27.75" hidden="false" customHeight="true" outlineLevel="0" collapsed="false">
      <c r="A56" s="8" t="s">
        <v>199</v>
      </c>
      <c r="B56" s="8" t="s">
        <v>225</v>
      </c>
      <c r="C56" s="8" t="s">
        <v>137</v>
      </c>
      <c r="D56" s="8" t="s">
        <v>139</v>
      </c>
      <c r="E56" s="8" t="s">
        <v>141</v>
      </c>
      <c r="F56" s="8" t="s">
        <v>143</v>
      </c>
      <c r="L56" s="7" t="s">
        <v>226</v>
      </c>
      <c r="M56" s="8" t="s">
        <v>227</v>
      </c>
      <c r="Q56" s="8" t="s">
        <v>199</v>
      </c>
      <c r="R56" s="8" t="s">
        <v>137</v>
      </c>
      <c r="S56" s="8" t="s">
        <v>139</v>
      </c>
      <c r="T56" s="8" t="s">
        <v>141</v>
      </c>
      <c r="U56" s="8" t="s">
        <v>143</v>
      </c>
      <c r="AA56" s="47" t="s">
        <v>228</v>
      </c>
    </row>
    <row r="57" customFormat="false" ht="27" hidden="false" customHeight="true" outlineLevel="0" collapsed="false">
      <c r="A57" s="19" t="s">
        <v>137</v>
      </c>
      <c r="B57" s="9" t="s">
        <v>138</v>
      </c>
      <c r="C57" s="31" t="n">
        <v>1</v>
      </c>
      <c r="D57" s="31" t="n">
        <f aca="false">نسبت!N57</f>
        <v>1</v>
      </c>
      <c r="E57" s="31" t="n">
        <f aca="false">نسبت!N58</f>
        <v>1.81144732852781</v>
      </c>
      <c r="F57" s="31" t="n">
        <f aca="false">نسبت!N59</f>
        <v>1</v>
      </c>
      <c r="L57" s="37" t="n">
        <f aca="false">IF($P$58=$P$57*($P$57-1)/2,GEOMEAN(C57:F57),"")</f>
        <v>1.16012938616016</v>
      </c>
      <c r="M57" s="36" t="n">
        <f aca="false">IF($P$58=$P$57*($P$57-1)/2,L57/SUM($L$57:$L$60),"")</f>
        <v>0.281527984149192</v>
      </c>
      <c r="O57" s="48" t="s">
        <v>229</v>
      </c>
      <c r="P57" s="11" t="n">
        <f aca="false">ROWS(A57:A60)</f>
        <v>4</v>
      </c>
      <c r="Q57" s="8" t="s">
        <v>137</v>
      </c>
      <c r="S57" s="30" t="n">
        <f aca="false">IF(AND(ISNUMBER(D57),ISNUMBER($M57),ISNUMBER($M58)),MAX(D57*$M58/$M57,$M57/(D57*$M58)),"")</f>
        <v>1</v>
      </c>
      <c r="T57" s="30" t="n">
        <f aca="false">IF(AND(ISNUMBER(E57),ISNUMBER($M57),ISNUMBER($M59)),MAX(E57*$M59/$M57,$M57/(E57*$M59)),"")</f>
        <v>1</v>
      </c>
      <c r="U57" s="30" t="n">
        <f aca="false">IF(AND(ISNUMBER(F57),ISNUMBER($M57),ISNUMBER($M60)),MAX(F57*$M60/$M57,$M57/(F57*$M60)),"")</f>
        <v>1</v>
      </c>
      <c r="AA57" s="49" t="n">
        <f aca="false">IF(COUNT(R57:U57)=0,"",MAX(R57:U57))</f>
        <v>1</v>
      </c>
    </row>
    <row r="58" customFormat="false" ht="27" hidden="false" customHeight="true" outlineLevel="0" collapsed="false">
      <c r="A58" s="19" t="s">
        <v>139</v>
      </c>
      <c r="B58" s="9" t="s">
        <v>140</v>
      </c>
      <c r="C58" s="31" t="n">
        <f aca="false">IF(ISNUMBER(D57),1/D57,"")</f>
        <v>1</v>
      </c>
      <c r="D58" s="31" t="n">
        <v>1</v>
      </c>
      <c r="E58" s="31" t="n">
        <f aca="false">نسبت!N60</f>
        <v>1.81144732852781</v>
      </c>
      <c r="F58" s="31" t="n">
        <f aca="false">نسبت!N61</f>
        <v>1</v>
      </c>
      <c r="L58" s="37" t="n">
        <f aca="false">IF($P$58=$P$57*($P$57-1)/2,GEOMEAN(C58:F58),"")</f>
        <v>1.16012938616016</v>
      </c>
      <c r="M58" s="36" t="n">
        <f aca="false">IF($P$58=$P$57*($P$57-1)/2,L58/SUM($L$57:$L$60),"")</f>
        <v>0.281527984149192</v>
      </c>
      <c r="O58" s="48" t="s">
        <v>230</v>
      </c>
      <c r="P58" s="11" t="n">
        <f aca="false">(COUNT(C57:F60)-$P$57)/2</f>
        <v>6</v>
      </c>
      <c r="Q58" s="8" t="s">
        <v>139</v>
      </c>
      <c r="T58" s="30" t="n">
        <f aca="false">IF(AND(ISNUMBER(E58),ISNUMBER($M58),ISNUMBER($M59)),MAX(E58*$M59/$M58,$M58/(E58*$M59)),"")</f>
        <v>1</v>
      </c>
      <c r="U58" s="30" t="n">
        <f aca="false">IF(AND(ISNUMBER(F58),ISNUMBER($M58),ISNUMBER($M60)),MAX(F58*$M60/$M58,$M58/(F58*$M60)),"")</f>
        <v>1</v>
      </c>
      <c r="AA58" s="49" t="n">
        <f aca="false">IF(COUNT(R58:U58)=0,"",MAX(R58:U58))</f>
        <v>1</v>
      </c>
    </row>
    <row r="59" customFormat="false" ht="27" hidden="false" customHeight="true" outlineLevel="0" collapsed="false">
      <c r="A59" s="19" t="s">
        <v>141</v>
      </c>
      <c r="B59" s="9" t="s">
        <v>142</v>
      </c>
      <c r="C59" s="31" t="n">
        <f aca="false">IF(ISNUMBER(E57),1/E57,"")</f>
        <v>0.552044756836906</v>
      </c>
      <c r="D59" s="31" t="n">
        <f aca="false">IF(ISNUMBER(E58),1/E58,"")</f>
        <v>0.552044756836906</v>
      </c>
      <c r="E59" s="31" t="n">
        <v>1</v>
      </c>
      <c r="F59" s="31" t="n">
        <f aca="false">نسبت!N62</f>
        <v>0.552044756836906</v>
      </c>
      <c r="L59" s="37" t="n">
        <f aca="false">IF($P$58=$P$57*($P$57-1)/2,GEOMEAN(C59:F59),"")</f>
        <v>0.640443344882136</v>
      </c>
      <c r="M59" s="36" t="n">
        <f aca="false">IF($P$58=$P$57*($P$57-1)/2,L59/SUM($L$57:$L$60),"")</f>
        <v>0.155416047552425</v>
      </c>
      <c r="O59" s="48" t="s">
        <v>231</v>
      </c>
      <c r="P59" s="37" t="n">
        <f aca="false">IF($P$58=$P$57*($P$57-1)/2,SUMPRODUCT(C61:F61,C62:F62),"")</f>
        <v>4</v>
      </c>
      <c r="Q59" s="8" t="s">
        <v>141</v>
      </c>
      <c r="U59" s="30" t="n">
        <f aca="false">IF(AND(ISNUMBER(F59),ISNUMBER($M59),ISNUMBER($M60)),MAX(F59*$M60/$M59,$M59/(F59*$M60)),"")</f>
        <v>1</v>
      </c>
      <c r="AA59" s="49" t="n">
        <f aca="false">IF(COUNT(R59:U59)=0,"",MAX(R59:U59))</f>
        <v>1</v>
      </c>
    </row>
    <row r="60" customFormat="false" ht="27" hidden="false" customHeight="true" outlineLevel="0" collapsed="false">
      <c r="A60" s="19" t="s">
        <v>143</v>
      </c>
      <c r="B60" s="9" t="s">
        <v>144</v>
      </c>
      <c r="C60" s="31" t="n">
        <f aca="false">IF(ISNUMBER(F57),1/F57,"")</f>
        <v>1</v>
      </c>
      <c r="D60" s="31" t="n">
        <f aca="false">IF(ISNUMBER(F58),1/F58,"")</f>
        <v>1</v>
      </c>
      <c r="E60" s="31" t="n">
        <f aca="false">IF(ISNUMBER(F59),1/F59,"")</f>
        <v>1.81144732852781</v>
      </c>
      <c r="F60" s="31" t="n">
        <v>1</v>
      </c>
      <c r="L60" s="37" t="n">
        <f aca="false">IF($P$58=$P$57*($P$57-1)/2,GEOMEAN(C60:F60),"")</f>
        <v>1.16012938616016</v>
      </c>
      <c r="M60" s="36" t="n">
        <f aca="false">IF($P$58=$P$57*($P$57-1)/2,L60/SUM($L$57:$L$60),"")</f>
        <v>0.281527984149192</v>
      </c>
      <c r="O60" s="48" t="s">
        <v>48</v>
      </c>
      <c r="P60" s="37" t="n">
        <f aca="false">IF(ISNUMBER(P59),(P59-$P$57)/($P$57-1),"")</f>
        <v>0</v>
      </c>
      <c r="Q60" s="8" t="s">
        <v>143</v>
      </c>
    </row>
    <row r="61" customFormat="false" ht="15" hidden="false" customHeight="false" outlineLevel="0" collapsed="false">
      <c r="A61" s="50"/>
      <c r="B61" s="51" t="s">
        <v>235</v>
      </c>
      <c r="C61" s="52" t="n">
        <f aca="false">IF($P$58=$P$57*($P$57-1)/2,SUM(C57:C60),"")</f>
        <v>3.55204475683691</v>
      </c>
      <c r="D61" s="52" t="n">
        <f aca="false">IF($P$58=$P$57*($P$57-1)/2,SUM(D57:D60),"")</f>
        <v>3.55204475683691</v>
      </c>
      <c r="E61" s="52" t="n">
        <f aca="false">IF($P$58=$P$57*($P$57-1)/2,SUM(E57:E60),"")</f>
        <v>6.43434198558344</v>
      </c>
      <c r="F61" s="52" t="n">
        <f aca="false">IF($P$58=$P$57*($P$57-1)/2,SUM(F57:F60),"")</f>
        <v>3.55204475683691</v>
      </c>
      <c r="M61" s="53" t="n">
        <f aca="false">IF($P$58=$P$57*($P$57-1)/2,SUM(M57:M60),"")</f>
        <v>1</v>
      </c>
      <c r="O61" s="48" t="s">
        <v>232</v>
      </c>
      <c r="P61" s="30" t="n">
        <f aca="false">INDEX(راهنما!$C$29:$C$38,MATCH($P$57,راهنما!$B$29:$B$38,0))</f>
        <v>0.9</v>
      </c>
    </row>
    <row r="62" customFormat="false" ht="15" hidden="false" customHeight="false" outlineLevel="0" collapsed="false">
      <c r="A62" s="50"/>
      <c r="B62" s="51" t="s">
        <v>236</v>
      </c>
      <c r="C62" s="53" t="n">
        <f aca="false">M57</f>
        <v>0.281527984149192</v>
      </c>
      <c r="D62" s="53" t="n">
        <f aca="false">M58</f>
        <v>0.281527984149192</v>
      </c>
      <c r="E62" s="53" t="n">
        <f aca="false">M59</f>
        <v>0.155416047552425</v>
      </c>
      <c r="F62" s="53" t="n">
        <f aca="false">M60</f>
        <v>0.281527984149192</v>
      </c>
      <c r="O62" s="48" t="s">
        <v>50</v>
      </c>
      <c r="P62" s="41" t="n">
        <f aca="false">IF(ISNUMBER(P60),IF(P61=0,0,MAX(0,P60)/P61),"")</f>
        <v>0</v>
      </c>
    </row>
    <row r="63" customFormat="false" ht="15" hidden="false" customHeight="false" outlineLevel="0" collapsed="false">
      <c r="O63" s="48" t="s">
        <v>83</v>
      </c>
      <c r="P63" s="10" t="str">
        <f aca="false">IF(NOT($P$58=$P$57*($P$57-1)/2),"ناقص",IF(P62&lt;=$P$3,"سازگار","ناسازگار"))</f>
        <v>سازگار</v>
      </c>
    </row>
    <row r="64" customFormat="false" ht="15" hidden="false" customHeight="false" outlineLevel="0" collapsed="false">
      <c r="O64" s="48" t="s">
        <v>233</v>
      </c>
      <c r="P64" s="30" t="n">
        <f aca="false">IF(COUNT(AA57:AA60)=0,"",MAX(AA57:AA60))</f>
        <v>1</v>
      </c>
    </row>
    <row r="65" customFormat="false" ht="15" hidden="false" customHeight="false" outlineLevel="0" collapsed="false">
      <c r="O65" s="48" t="s">
        <v>234</v>
      </c>
      <c r="P65" s="19" t="str">
        <f aca="false">IF(ISNUMBER(P64),INDEX(A57:A60,MATCH(P64,AA57:AA60,0))&amp;" و "&amp;INDEX(C56:F56,MATCH(P64,INDEX(R57:U60,MATCH(P64,AA57:AA60,0),0),0)),"")</f>
        <v>گ۱۱ و گ۱۲</v>
      </c>
    </row>
    <row r="67" customFormat="false" ht="15" hidden="false" customHeight="false" outlineLevel="0" collapsed="false">
      <c r="A67" s="45" t="s">
        <v>241</v>
      </c>
      <c r="B67" s="45"/>
      <c r="C67" s="45"/>
      <c r="D67" s="45"/>
      <c r="E67" s="45"/>
      <c r="F67" s="45"/>
      <c r="G67" s="45"/>
      <c r="H67" s="45"/>
      <c r="I67" s="45"/>
      <c r="J67" s="45"/>
      <c r="K67" s="45"/>
      <c r="L67" s="45"/>
      <c r="M67" s="45"/>
      <c r="Q67" s="46" t="s">
        <v>224</v>
      </c>
      <c r="R67" s="46"/>
      <c r="S67" s="46"/>
      <c r="T67" s="46"/>
      <c r="U67" s="46"/>
      <c r="V67" s="46"/>
      <c r="W67" s="46"/>
      <c r="X67" s="46"/>
      <c r="Y67" s="46"/>
      <c r="Z67" s="46"/>
      <c r="AA67" s="46"/>
    </row>
    <row r="68" customFormat="false" ht="27.75" hidden="false" customHeight="true" outlineLevel="0" collapsed="false">
      <c r="A68" s="8" t="s">
        <v>199</v>
      </c>
      <c r="B68" s="8" t="s">
        <v>225</v>
      </c>
      <c r="C68" s="8" t="s">
        <v>145</v>
      </c>
      <c r="D68" s="8" t="s">
        <v>147</v>
      </c>
      <c r="E68" s="8" t="s">
        <v>149</v>
      </c>
      <c r="F68" s="8" t="s">
        <v>151</v>
      </c>
      <c r="L68" s="7" t="s">
        <v>226</v>
      </c>
      <c r="M68" s="8" t="s">
        <v>227</v>
      </c>
      <c r="Q68" s="8" t="s">
        <v>199</v>
      </c>
      <c r="R68" s="8" t="s">
        <v>145</v>
      </c>
      <c r="S68" s="8" t="s">
        <v>147</v>
      </c>
      <c r="T68" s="8" t="s">
        <v>149</v>
      </c>
      <c r="U68" s="8" t="s">
        <v>151</v>
      </c>
      <c r="AA68" s="47" t="s">
        <v>228</v>
      </c>
    </row>
    <row r="69" customFormat="false" ht="27" hidden="false" customHeight="true" outlineLevel="0" collapsed="false">
      <c r="A69" s="19" t="s">
        <v>145</v>
      </c>
      <c r="B69" s="9" t="s">
        <v>146</v>
      </c>
      <c r="C69" s="31" t="n">
        <v>1</v>
      </c>
      <c r="D69" s="31" t="n">
        <f aca="false">نسبت!N63</f>
        <v>1.34590019263236</v>
      </c>
      <c r="E69" s="31" t="n">
        <f aca="false">نسبت!N64</f>
        <v>1.34590019263236</v>
      </c>
      <c r="F69" s="31" t="n">
        <f aca="false">نسبت!N65</f>
        <v>1.34590019263236</v>
      </c>
      <c r="L69" s="37" t="n">
        <f aca="false">IF($P$70=$P$69*($P$69-1)/2,GEOMEAN(C69:F69),"")</f>
        <v>1.24956727082275</v>
      </c>
      <c r="M69" s="36" t="n">
        <f aca="false">IF($P$70=$P$69*($P$69-1)/2,L69/SUM($L$69:$L$72),"")</f>
        <v>0.309694225126033</v>
      </c>
      <c r="O69" s="48" t="s">
        <v>229</v>
      </c>
      <c r="P69" s="11" t="n">
        <f aca="false">ROWS(A69:A72)</f>
        <v>4</v>
      </c>
      <c r="Q69" s="8" t="s">
        <v>145</v>
      </c>
      <c r="S69" s="30" t="n">
        <f aca="false">IF(AND(ISNUMBER(D69),ISNUMBER($M69),ISNUMBER($M70)),MAX(D69*$M70/$M69,$M69/(D69*$M70)),"")</f>
        <v>1</v>
      </c>
      <c r="T69" s="30" t="n">
        <f aca="false">IF(AND(ISNUMBER(E69),ISNUMBER($M69),ISNUMBER($M71)),MAX(E69*$M71/$M69,$M69/(E69*$M71)),"")</f>
        <v>1</v>
      </c>
      <c r="U69" s="30" t="n">
        <f aca="false">IF(AND(ISNUMBER(F69),ISNUMBER($M69),ISNUMBER($M72)),MAX(F69*$M72/$M69,$M69/(F69*$M72)),"")</f>
        <v>1</v>
      </c>
      <c r="AA69" s="49" t="n">
        <f aca="false">IF(COUNT(R69:U69)=0,"",MAX(R69:U69))</f>
        <v>1</v>
      </c>
    </row>
    <row r="70" customFormat="false" ht="27" hidden="false" customHeight="true" outlineLevel="0" collapsed="false">
      <c r="A70" s="19" t="s">
        <v>147</v>
      </c>
      <c r="B70" s="9" t="s">
        <v>148</v>
      </c>
      <c r="C70" s="31" t="n">
        <f aca="false">IF(ISNUMBER(D69),1/D69,"")</f>
        <v>0.742997144568474</v>
      </c>
      <c r="D70" s="31" t="n">
        <v>1</v>
      </c>
      <c r="E70" s="31" t="n">
        <f aca="false">نسبت!N66</f>
        <v>1</v>
      </c>
      <c r="F70" s="31" t="n">
        <f aca="false">نسبت!N67</f>
        <v>1</v>
      </c>
      <c r="L70" s="37" t="n">
        <f aca="false">IF($P$70=$P$69*($P$69-1)/2,GEOMEAN(C70:F70),"")</f>
        <v>0.928424914167526</v>
      </c>
      <c r="M70" s="36" t="n">
        <f aca="false">IF($P$70=$P$69*($P$69-1)/2,L70/SUM($L$69:$L$72),"")</f>
        <v>0.230101924957989</v>
      </c>
      <c r="O70" s="48" t="s">
        <v>230</v>
      </c>
      <c r="P70" s="11" t="n">
        <f aca="false">(COUNT(C69:F72)-$P$69)/2</f>
        <v>6</v>
      </c>
      <c r="Q70" s="8" t="s">
        <v>147</v>
      </c>
      <c r="T70" s="30" t="n">
        <f aca="false">IF(AND(ISNUMBER(E70),ISNUMBER($M70),ISNUMBER($M71)),MAX(E70*$M71/$M70,$M70/(E70*$M71)),"")</f>
        <v>1</v>
      </c>
      <c r="U70" s="30" t="n">
        <f aca="false">IF(AND(ISNUMBER(F70),ISNUMBER($M70),ISNUMBER($M72)),MAX(F70*$M72/$M70,$M70/(F70*$M72)),"")</f>
        <v>1</v>
      </c>
      <c r="AA70" s="49" t="n">
        <f aca="false">IF(COUNT(R70:U70)=0,"",MAX(R70:U70))</f>
        <v>1</v>
      </c>
    </row>
    <row r="71" customFormat="false" ht="27" hidden="false" customHeight="true" outlineLevel="0" collapsed="false">
      <c r="A71" s="19" t="s">
        <v>149</v>
      </c>
      <c r="B71" s="9" t="s">
        <v>150</v>
      </c>
      <c r="C71" s="31" t="n">
        <f aca="false">IF(ISNUMBER(E69),1/E69,"")</f>
        <v>0.742997144568474</v>
      </c>
      <c r="D71" s="31" t="n">
        <f aca="false">IF(ISNUMBER(E70),1/E70,"")</f>
        <v>1</v>
      </c>
      <c r="E71" s="31" t="n">
        <v>1</v>
      </c>
      <c r="F71" s="31" t="n">
        <f aca="false">نسبت!N68</f>
        <v>1</v>
      </c>
      <c r="L71" s="37" t="n">
        <f aca="false">IF($P$70=$P$69*($P$69-1)/2,GEOMEAN(C71:F71),"")</f>
        <v>0.928424914167526</v>
      </c>
      <c r="M71" s="36" t="n">
        <f aca="false">IF($P$70=$P$69*($P$69-1)/2,L71/SUM($L$69:$L$72),"")</f>
        <v>0.230101924957989</v>
      </c>
      <c r="O71" s="48" t="s">
        <v>231</v>
      </c>
      <c r="P71" s="37" t="n">
        <f aca="false">IF($P$70=$P$69*($P$69-1)/2,SUMPRODUCT(C73:F73,C74:F74),"")</f>
        <v>4</v>
      </c>
      <c r="Q71" s="8" t="s">
        <v>149</v>
      </c>
      <c r="U71" s="30" t="n">
        <f aca="false">IF(AND(ISNUMBER(F71),ISNUMBER($M71),ISNUMBER($M72)),MAX(F71*$M72/$M71,$M71/(F71*$M72)),"")</f>
        <v>1</v>
      </c>
      <c r="AA71" s="49" t="n">
        <f aca="false">IF(COUNT(R71:U71)=0,"",MAX(R71:U71))</f>
        <v>1</v>
      </c>
    </row>
    <row r="72" customFormat="false" ht="27" hidden="false" customHeight="true" outlineLevel="0" collapsed="false">
      <c r="A72" s="19" t="s">
        <v>151</v>
      </c>
      <c r="B72" s="9" t="s">
        <v>152</v>
      </c>
      <c r="C72" s="31" t="n">
        <f aca="false">IF(ISNUMBER(F69),1/F69,"")</f>
        <v>0.742997144568474</v>
      </c>
      <c r="D72" s="31" t="n">
        <f aca="false">IF(ISNUMBER(F70),1/F70,"")</f>
        <v>1</v>
      </c>
      <c r="E72" s="31" t="n">
        <f aca="false">IF(ISNUMBER(F71),1/F71,"")</f>
        <v>1</v>
      </c>
      <c r="F72" s="31" t="n">
        <v>1</v>
      </c>
      <c r="L72" s="37" t="n">
        <f aca="false">IF($P$70=$P$69*($P$69-1)/2,GEOMEAN(C72:F72),"")</f>
        <v>0.928424914167526</v>
      </c>
      <c r="M72" s="36" t="n">
        <f aca="false">IF($P$70=$P$69*($P$69-1)/2,L72/SUM($L$69:$L$72),"")</f>
        <v>0.230101924957989</v>
      </c>
      <c r="O72" s="48" t="s">
        <v>48</v>
      </c>
      <c r="P72" s="37" t="n">
        <f aca="false">IF(ISNUMBER(P71),(P71-$P$69)/($P$69-1),"")</f>
        <v>0</v>
      </c>
      <c r="Q72" s="8" t="s">
        <v>151</v>
      </c>
    </row>
    <row r="73" customFormat="false" ht="15" hidden="false" customHeight="false" outlineLevel="0" collapsed="false">
      <c r="A73" s="50"/>
      <c r="B73" s="51" t="s">
        <v>235</v>
      </c>
      <c r="C73" s="52" t="n">
        <f aca="false">IF($P$70=$P$69*($P$69-1)/2,SUM(C69:C72),"")</f>
        <v>3.22899143370542</v>
      </c>
      <c r="D73" s="52" t="n">
        <f aca="false">IF($P$70=$P$69*($P$69-1)/2,SUM(D69:D72),"")</f>
        <v>4.34590019263236</v>
      </c>
      <c r="E73" s="52" t="n">
        <f aca="false">IF($P$70=$P$69*($P$69-1)/2,SUM(E69:E72),"")</f>
        <v>4.34590019263236</v>
      </c>
      <c r="F73" s="52" t="n">
        <f aca="false">IF($P$70=$P$69*($P$69-1)/2,SUM(F69:F72),"")</f>
        <v>4.34590019263236</v>
      </c>
      <c r="M73" s="53" t="n">
        <f aca="false">IF($P$70=$P$69*($P$69-1)/2,SUM(M69:M72),"")</f>
        <v>1</v>
      </c>
      <c r="O73" s="48" t="s">
        <v>232</v>
      </c>
      <c r="P73" s="30" t="n">
        <f aca="false">INDEX(راهنما!$C$29:$C$38,MATCH($P$69,راهنما!$B$29:$B$38,0))</f>
        <v>0.9</v>
      </c>
    </row>
    <row r="74" customFormat="false" ht="15" hidden="false" customHeight="false" outlineLevel="0" collapsed="false">
      <c r="A74" s="50"/>
      <c r="B74" s="51" t="s">
        <v>236</v>
      </c>
      <c r="C74" s="53" t="n">
        <f aca="false">M69</f>
        <v>0.309694225126033</v>
      </c>
      <c r="D74" s="53" t="n">
        <f aca="false">M70</f>
        <v>0.230101924957989</v>
      </c>
      <c r="E74" s="53" t="n">
        <f aca="false">M71</f>
        <v>0.230101924957989</v>
      </c>
      <c r="F74" s="53" t="n">
        <f aca="false">M72</f>
        <v>0.230101924957989</v>
      </c>
      <c r="O74" s="48" t="s">
        <v>50</v>
      </c>
      <c r="P74" s="41" t="n">
        <f aca="false">IF(ISNUMBER(P72),IF(P73=0,0,MAX(0,P72)/P73),"")</f>
        <v>0</v>
      </c>
    </row>
    <row r="75" customFormat="false" ht="15" hidden="false" customHeight="false" outlineLevel="0" collapsed="false">
      <c r="O75" s="48" t="s">
        <v>83</v>
      </c>
      <c r="P75" s="10" t="str">
        <f aca="false">IF(NOT($P$70=$P$69*($P$69-1)/2),"ناقص",IF(P74&lt;=$P$3,"سازگار","ناسازگار"))</f>
        <v>سازگار</v>
      </c>
    </row>
    <row r="76" customFormat="false" ht="15" hidden="false" customHeight="false" outlineLevel="0" collapsed="false">
      <c r="O76" s="48" t="s">
        <v>233</v>
      </c>
      <c r="P76" s="30" t="n">
        <f aca="false">IF(COUNT(AA69:AA72)=0,"",MAX(AA69:AA72))</f>
        <v>1</v>
      </c>
    </row>
    <row r="77" customFormat="false" ht="15" hidden="false" customHeight="false" outlineLevel="0" collapsed="false">
      <c r="O77" s="48" t="s">
        <v>234</v>
      </c>
      <c r="P77" s="19" t="str">
        <f aca="false">IF(ISNUMBER(P76),INDEX(A69:A72,MATCH(P76,AA69:AA72,0))&amp;" و "&amp;INDEX(C68:F68,MATCH(P76,INDEX(R69:U72,MATCH(P76,AA69:AA72,0),0),0)),"")</f>
        <v>گ۱۵ و گ۱۶</v>
      </c>
    </row>
    <row r="79" customFormat="false" ht="15" hidden="false" customHeight="false" outlineLevel="0" collapsed="false">
      <c r="A79" s="45" t="s">
        <v>242</v>
      </c>
      <c r="B79" s="45"/>
      <c r="C79" s="45"/>
      <c r="D79" s="45"/>
      <c r="E79" s="45"/>
      <c r="F79" s="45"/>
      <c r="G79" s="45"/>
      <c r="H79" s="45"/>
      <c r="I79" s="45"/>
      <c r="J79" s="45"/>
      <c r="K79" s="45"/>
      <c r="L79" s="45"/>
      <c r="M79" s="45"/>
      <c r="Q79" s="46" t="s">
        <v>224</v>
      </c>
      <c r="R79" s="46"/>
      <c r="S79" s="46"/>
      <c r="T79" s="46"/>
      <c r="U79" s="46"/>
      <c r="V79" s="46"/>
      <c r="W79" s="46"/>
      <c r="X79" s="46"/>
      <c r="Y79" s="46"/>
      <c r="Z79" s="46"/>
      <c r="AA79" s="46"/>
    </row>
    <row r="80" customFormat="false" ht="27.75" hidden="false" customHeight="true" outlineLevel="0" collapsed="false">
      <c r="A80" s="8" t="s">
        <v>199</v>
      </c>
      <c r="B80" s="8" t="s">
        <v>225</v>
      </c>
      <c r="C80" s="8" t="s">
        <v>153</v>
      </c>
      <c r="D80" s="8" t="s">
        <v>155</v>
      </c>
      <c r="E80" s="8" t="s">
        <v>157</v>
      </c>
      <c r="L80" s="7" t="s">
        <v>226</v>
      </c>
      <c r="M80" s="8" t="s">
        <v>227</v>
      </c>
      <c r="Q80" s="8" t="s">
        <v>199</v>
      </c>
      <c r="R80" s="8" t="s">
        <v>153</v>
      </c>
      <c r="S80" s="8" t="s">
        <v>155</v>
      </c>
      <c r="T80" s="8" t="s">
        <v>157</v>
      </c>
      <c r="AA80" s="47" t="s">
        <v>228</v>
      </c>
    </row>
    <row r="81" customFormat="false" ht="27" hidden="false" customHeight="true" outlineLevel="0" collapsed="false">
      <c r="A81" s="19" t="s">
        <v>153</v>
      </c>
      <c r="B81" s="9" t="s">
        <v>154</v>
      </c>
      <c r="C81" s="31" t="n">
        <v>1</v>
      </c>
      <c r="D81" s="31" t="n">
        <f aca="false">نسبت!N69</f>
        <v>2</v>
      </c>
      <c r="E81" s="31" t="n">
        <f aca="false">نسبت!N70</f>
        <v>2</v>
      </c>
      <c r="L81" s="37" t="n">
        <f aca="false">IF($P$82=$P$81*($P$81-1)/2,GEOMEAN(C81:E81),"")</f>
        <v>1.5874010519682</v>
      </c>
      <c r="M81" s="36" t="n">
        <f aca="false">IF($P$82=$P$81*($P$81-1)/2,L81/SUM($L$81:$L$83),"")</f>
        <v>0.5</v>
      </c>
      <c r="O81" s="48" t="s">
        <v>229</v>
      </c>
      <c r="P81" s="11" t="n">
        <f aca="false">ROWS(A81:A83)</f>
        <v>3</v>
      </c>
      <c r="Q81" s="8" t="s">
        <v>153</v>
      </c>
      <c r="S81" s="30" t="n">
        <f aca="false">IF(AND(ISNUMBER(D81),ISNUMBER($M81),ISNUMBER($M82)),MAX(D81*$M82/$M81,$M81/(D81*$M82)),"")</f>
        <v>1</v>
      </c>
      <c r="T81" s="30" t="n">
        <f aca="false">IF(AND(ISNUMBER(E81),ISNUMBER($M81),ISNUMBER($M83)),MAX(E81*$M83/$M81,$M81/(E81*$M83)),"")</f>
        <v>1</v>
      </c>
      <c r="AA81" s="49" t="n">
        <f aca="false">IF(COUNT(R81:T81)=0,"",MAX(R81:T81))</f>
        <v>1</v>
      </c>
    </row>
    <row r="82" customFormat="false" ht="27" hidden="false" customHeight="true" outlineLevel="0" collapsed="false">
      <c r="A82" s="19" t="s">
        <v>155</v>
      </c>
      <c r="B82" s="9" t="s">
        <v>156</v>
      </c>
      <c r="C82" s="31" t="n">
        <f aca="false">IF(ISNUMBER(D81),1/D81,"")</f>
        <v>0.5</v>
      </c>
      <c r="D82" s="31" t="n">
        <v>1</v>
      </c>
      <c r="E82" s="31" t="n">
        <f aca="false">نسبت!N71</f>
        <v>1</v>
      </c>
      <c r="L82" s="37" t="n">
        <f aca="false">IF($P$82=$P$81*($P$81-1)/2,GEOMEAN(C82:E82),"")</f>
        <v>0.7937005259841</v>
      </c>
      <c r="M82" s="36" t="n">
        <f aca="false">IF($P$82=$P$81*($P$81-1)/2,L82/SUM($L$81:$L$83),"")</f>
        <v>0.25</v>
      </c>
      <c r="O82" s="48" t="s">
        <v>230</v>
      </c>
      <c r="P82" s="11" t="n">
        <f aca="false">(COUNT(C81:E83)-$P$81)/2</f>
        <v>3</v>
      </c>
      <c r="Q82" s="8" t="s">
        <v>155</v>
      </c>
      <c r="T82" s="30" t="n">
        <f aca="false">IF(AND(ISNUMBER(E82),ISNUMBER($M82),ISNUMBER($M83)),MAX(E82*$M83/$M82,$M82/(E82*$M83)),"")</f>
        <v>1</v>
      </c>
      <c r="AA82" s="49" t="n">
        <f aca="false">IF(COUNT(R82:T82)=0,"",MAX(R82:T82))</f>
        <v>1</v>
      </c>
    </row>
    <row r="83" customFormat="false" ht="27" hidden="false" customHeight="true" outlineLevel="0" collapsed="false">
      <c r="A83" s="19" t="s">
        <v>157</v>
      </c>
      <c r="B83" s="9" t="s">
        <v>158</v>
      </c>
      <c r="C83" s="31" t="n">
        <f aca="false">IF(ISNUMBER(E81),1/E81,"")</f>
        <v>0.5</v>
      </c>
      <c r="D83" s="31" t="n">
        <f aca="false">IF(ISNUMBER(E82),1/E82,"")</f>
        <v>1</v>
      </c>
      <c r="E83" s="31" t="n">
        <v>1</v>
      </c>
      <c r="L83" s="37" t="n">
        <f aca="false">IF($P$82=$P$81*($P$81-1)/2,GEOMEAN(C83:E83),"")</f>
        <v>0.7937005259841</v>
      </c>
      <c r="M83" s="36" t="n">
        <f aca="false">IF($P$82=$P$81*($P$81-1)/2,L83/SUM($L$81:$L$83),"")</f>
        <v>0.25</v>
      </c>
      <c r="O83" s="48" t="s">
        <v>231</v>
      </c>
      <c r="P83" s="37" t="n">
        <f aca="false">IF($P$82=$P$81*($P$81-1)/2,SUMPRODUCT(C84:E84,C85:E85),"")</f>
        <v>3</v>
      </c>
      <c r="Q83" s="8" t="s">
        <v>157</v>
      </c>
    </row>
    <row r="84" customFormat="false" ht="15" hidden="false" customHeight="false" outlineLevel="0" collapsed="false">
      <c r="A84" s="50"/>
      <c r="B84" s="51" t="s">
        <v>235</v>
      </c>
      <c r="C84" s="52" t="n">
        <f aca="false">IF($P$82=$P$81*($P$81-1)/2,SUM(C81:C83),"")</f>
        <v>2</v>
      </c>
      <c r="D84" s="52" t="n">
        <f aca="false">IF($P$82=$P$81*($P$81-1)/2,SUM(D81:D83),"")</f>
        <v>4</v>
      </c>
      <c r="E84" s="52" t="n">
        <f aca="false">IF($P$82=$P$81*($P$81-1)/2,SUM(E81:E83),"")</f>
        <v>4</v>
      </c>
      <c r="M84" s="53" t="n">
        <f aca="false">IF($P$82=$P$81*($P$81-1)/2,SUM(M81:M83),"")</f>
        <v>1</v>
      </c>
      <c r="O84" s="48" t="s">
        <v>48</v>
      </c>
      <c r="P84" s="37" t="n">
        <f aca="false">IF(ISNUMBER(P83),(P83-$P$81)/($P$81-1),"")</f>
        <v>0</v>
      </c>
    </row>
    <row r="85" customFormat="false" ht="15" hidden="false" customHeight="false" outlineLevel="0" collapsed="false">
      <c r="A85" s="50"/>
      <c r="B85" s="51" t="s">
        <v>236</v>
      </c>
      <c r="C85" s="53" t="n">
        <f aca="false">M81</f>
        <v>0.5</v>
      </c>
      <c r="D85" s="53" t="n">
        <f aca="false">M82</f>
        <v>0.25</v>
      </c>
      <c r="E85" s="53" t="n">
        <f aca="false">M83</f>
        <v>0.25</v>
      </c>
      <c r="O85" s="48" t="s">
        <v>232</v>
      </c>
      <c r="P85" s="30" t="n">
        <f aca="false">INDEX(راهنما!$C$29:$C$38,MATCH($P$81,راهنما!$B$29:$B$38,0))</f>
        <v>0.58</v>
      </c>
    </row>
    <row r="86" customFormat="false" ht="15" hidden="false" customHeight="false" outlineLevel="0" collapsed="false">
      <c r="O86" s="48" t="s">
        <v>50</v>
      </c>
      <c r="P86" s="41" t="n">
        <f aca="false">IF(ISNUMBER(P84),IF(P85=0,0,MAX(0,P84)/P85),"")</f>
        <v>0</v>
      </c>
    </row>
    <row r="87" customFormat="false" ht="15" hidden="false" customHeight="false" outlineLevel="0" collapsed="false">
      <c r="O87" s="48" t="s">
        <v>83</v>
      </c>
      <c r="P87" s="10" t="str">
        <f aca="false">IF(NOT($P$82=$P$81*($P$81-1)/2),"ناقص",IF(P86&lt;=$P$3,"سازگار","ناسازگار"))</f>
        <v>سازگار</v>
      </c>
    </row>
    <row r="88" customFormat="false" ht="15" hidden="false" customHeight="false" outlineLevel="0" collapsed="false">
      <c r="O88" s="48" t="s">
        <v>233</v>
      </c>
      <c r="P88" s="30" t="n">
        <f aca="false">IF(COUNT(AA81:AA83)=0,"",MAX(AA81:AA83))</f>
        <v>1</v>
      </c>
    </row>
    <row r="89" customFormat="false" ht="15" hidden="false" customHeight="false" outlineLevel="0" collapsed="false">
      <c r="O89" s="48" t="s">
        <v>234</v>
      </c>
      <c r="P89" s="19" t="str">
        <f aca="false">IF(ISNUMBER(P88),INDEX(A81:A83,MATCH(P88,AA81:AA83,0))&amp;" و "&amp;INDEX(C80:E80,MATCH(P88,INDEX(R81:T83,MATCH(P88,AA81:AA83,0),0),0)),"")</f>
        <v>گ۱۹ و گ۲۰</v>
      </c>
    </row>
    <row r="91" customFormat="false" ht="15" hidden="false" customHeight="false" outlineLevel="0" collapsed="false">
      <c r="A91" s="45" t="s">
        <v>243</v>
      </c>
      <c r="B91" s="45"/>
      <c r="C91" s="45"/>
      <c r="D91" s="45"/>
      <c r="E91" s="45"/>
      <c r="F91" s="45"/>
      <c r="G91" s="45"/>
      <c r="H91" s="45"/>
      <c r="I91" s="45"/>
      <c r="J91" s="45"/>
      <c r="K91" s="45"/>
      <c r="L91" s="45"/>
      <c r="M91" s="45"/>
      <c r="Q91" s="46" t="s">
        <v>224</v>
      </c>
      <c r="R91" s="46"/>
      <c r="S91" s="46"/>
      <c r="T91" s="46"/>
      <c r="U91" s="46"/>
      <c r="V91" s="46"/>
      <c r="W91" s="46"/>
      <c r="X91" s="46"/>
      <c r="Y91" s="46"/>
      <c r="Z91" s="46"/>
      <c r="AA91" s="46"/>
    </row>
    <row r="92" customFormat="false" ht="27.75" hidden="false" customHeight="true" outlineLevel="0" collapsed="false">
      <c r="A92" s="8" t="s">
        <v>199</v>
      </c>
      <c r="B92" s="8" t="s">
        <v>225</v>
      </c>
      <c r="C92" s="8" t="s">
        <v>159</v>
      </c>
      <c r="D92" s="8" t="s">
        <v>161</v>
      </c>
      <c r="E92" s="8" t="s">
        <v>163</v>
      </c>
      <c r="L92" s="7" t="s">
        <v>226</v>
      </c>
      <c r="M92" s="8" t="s">
        <v>227</v>
      </c>
      <c r="Q92" s="8" t="s">
        <v>199</v>
      </c>
      <c r="R92" s="8" t="s">
        <v>159</v>
      </c>
      <c r="S92" s="8" t="s">
        <v>161</v>
      </c>
      <c r="T92" s="8" t="s">
        <v>163</v>
      </c>
      <c r="AA92" s="47" t="s">
        <v>228</v>
      </c>
    </row>
    <row r="93" customFormat="false" ht="27" hidden="false" customHeight="true" outlineLevel="0" collapsed="false">
      <c r="A93" s="19" t="s">
        <v>159</v>
      </c>
      <c r="B93" s="9" t="s">
        <v>160</v>
      </c>
      <c r="C93" s="31" t="n">
        <v>1</v>
      </c>
      <c r="D93" s="31" t="n">
        <f aca="false">نسبت!N72</f>
        <v>1.10408951367381</v>
      </c>
      <c r="E93" s="31" t="n">
        <f aca="false">نسبت!N73</f>
        <v>1.64067071201528</v>
      </c>
      <c r="L93" s="37" t="n">
        <f aca="false">IF($P$94=$P$93*($P$93-1)/2,GEOMEAN(C93:E93),"")</f>
        <v>1.21901365420448</v>
      </c>
      <c r="M93" s="36" t="n">
        <f aca="false">IF($P$94=$P$93*($P$93-1)/2,L93/SUM($L$93:$L$95),"")</f>
        <v>0.397577877428184</v>
      </c>
      <c r="O93" s="48" t="s">
        <v>229</v>
      </c>
      <c r="P93" s="11" t="n">
        <f aca="false">ROWS(A93:A95)</f>
        <v>3</v>
      </c>
      <c r="Q93" s="8" t="s">
        <v>159</v>
      </c>
      <c r="S93" s="30" t="n">
        <f aca="false">IF(AND(ISNUMBER(D93),ISNUMBER($M93),ISNUMBER($M94)),MAX(D93*$M94/$M93,$M93/(D93*$M94)),"")</f>
        <v>1</v>
      </c>
      <c r="T93" s="30" t="n">
        <f aca="false">IF(AND(ISNUMBER(E93),ISNUMBER($M93),ISNUMBER($M95)),MAX(E93*$M95/$M93,$M93/(E93*$M95)),"")</f>
        <v>1</v>
      </c>
      <c r="AA93" s="49" t="n">
        <f aca="false">IF(COUNT(R93:T93)=0,"",MAX(R93:T93))</f>
        <v>1</v>
      </c>
    </row>
    <row r="94" customFormat="false" ht="27" hidden="false" customHeight="true" outlineLevel="0" collapsed="false">
      <c r="A94" s="19" t="s">
        <v>161</v>
      </c>
      <c r="B94" s="9" t="s">
        <v>162</v>
      </c>
      <c r="C94" s="31" t="n">
        <f aca="false">IF(ISNUMBER(D93),1/D93,"")</f>
        <v>0.905723664263907</v>
      </c>
      <c r="D94" s="31" t="n">
        <v>1</v>
      </c>
      <c r="E94" s="31" t="n">
        <f aca="false">نسبت!N74</f>
        <v>1.48599428913695</v>
      </c>
      <c r="L94" s="37" t="n">
        <f aca="false">IF($P$94=$P$93*($P$93-1)/2,GEOMEAN(C94:E94),"")</f>
        <v>1.10408951367381</v>
      </c>
      <c r="M94" s="36" t="n">
        <f aca="false">IF($P$94=$P$93*($P$93-1)/2,L94/SUM($L$93:$L$95),"")</f>
        <v>0.360095691974521</v>
      </c>
      <c r="O94" s="48" t="s">
        <v>230</v>
      </c>
      <c r="P94" s="11" t="n">
        <f aca="false">(COUNT(C93:E95)-$P$93)/2</f>
        <v>3</v>
      </c>
      <c r="Q94" s="8" t="s">
        <v>161</v>
      </c>
      <c r="T94" s="30" t="n">
        <f aca="false">IF(AND(ISNUMBER(E94),ISNUMBER($M94),ISNUMBER($M95)),MAX(E94*$M95/$M94,$M94/(E94*$M95)),"")</f>
        <v>1</v>
      </c>
      <c r="AA94" s="49" t="n">
        <f aca="false">IF(COUNT(R94:T94)=0,"",MAX(R94:T94))</f>
        <v>1</v>
      </c>
    </row>
    <row r="95" customFormat="false" ht="27" hidden="false" customHeight="true" outlineLevel="0" collapsed="false">
      <c r="A95" s="19" t="s">
        <v>163</v>
      </c>
      <c r="B95" s="9" t="s">
        <v>164</v>
      </c>
      <c r="C95" s="31" t="n">
        <f aca="false">IF(ISNUMBER(E93),1/E93,"")</f>
        <v>0.609506827102238</v>
      </c>
      <c r="D95" s="31" t="n">
        <f aca="false">IF(ISNUMBER(E94),1/E94,"")</f>
        <v>0.672950096316178</v>
      </c>
      <c r="E95" s="31" t="n">
        <v>1</v>
      </c>
      <c r="L95" s="37" t="n">
        <f aca="false">IF($P$94=$P$93*($P$93-1)/2,GEOMEAN(C95:E95),"")</f>
        <v>0.742997144568474</v>
      </c>
      <c r="M95" s="36" t="n">
        <f aca="false">IF($P$94=$P$93*($P$93-1)/2,L95/SUM($L$93:$L$95),"")</f>
        <v>0.242326430597295</v>
      </c>
      <c r="O95" s="48" t="s">
        <v>231</v>
      </c>
      <c r="P95" s="37" t="n">
        <f aca="false">IF($P$94=$P$93*($P$93-1)/2,SUMPRODUCT(C96:E96,C97:E97),"")</f>
        <v>3</v>
      </c>
      <c r="Q95" s="8" t="s">
        <v>163</v>
      </c>
    </row>
    <row r="96" customFormat="false" ht="15" hidden="false" customHeight="false" outlineLevel="0" collapsed="false">
      <c r="A96" s="50"/>
      <c r="B96" s="51" t="s">
        <v>235</v>
      </c>
      <c r="C96" s="52" t="n">
        <f aca="false">IF($P$94=$P$93*($P$93-1)/2,SUM(C93:C95),"")</f>
        <v>2.51523049136614</v>
      </c>
      <c r="D96" s="52" t="n">
        <f aca="false">IF($P$94=$P$93*($P$93-1)/2,SUM(D93:D95),"")</f>
        <v>2.77703960998999</v>
      </c>
      <c r="E96" s="52" t="n">
        <f aca="false">IF($P$94=$P$93*($P$93-1)/2,SUM(E93:E95),"")</f>
        <v>4.12666500115222</v>
      </c>
      <c r="M96" s="53" t="n">
        <f aca="false">IF($P$94=$P$93*($P$93-1)/2,SUM(M93:M95),"")</f>
        <v>1</v>
      </c>
      <c r="O96" s="48" t="s">
        <v>48</v>
      </c>
      <c r="P96" s="37" t="n">
        <f aca="false">IF(ISNUMBER(P95),(P95-$P$93)/($P$93-1),"")</f>
        <v>0</v>
      </c>
    </row>
    <row r="97" customFormat="false" ht="15" hidden="false" customHeight="false" outlineLevel="0" collapsed="false">
      <c r="A97" s="50"/>
      <c r="B97" s="51" t="s">
        <v>236</v>
      </c>
      <c r="C97" s="53" t="n">
        <f aca="false">M93</f>
        <v>0.397577877428184</v>
      </c>
      <c r="D97" s="53" t="n">
        <f aca="false">M94</f>
        <v>0.360095691974521</v>
      </c>
      <c r="E97" s="53" t="n">
        <f aca="false">M95</f>
        <v>0.242326430597295</v>
      </c>
      <c r="O97" s="48" t="s">
        <v>232</v>
      </c>
      <c r="P97" s="30" t="n">
        <f aca="false">INDEX(راهنما!$C$29:$C$38,MATCH($P$93,راهنما!$B$29:$B$38,0))</f>
        <v>0.58</v>
      </c>
    </row>
    <row r="98" customFormat="false" ht="15" hidden="false" customHeight="false" outlineLevel="0" collapsed="false">
      <c r="O98" s="48" t="s">
        <v>50</v>
      </c>
      <c r="P98" s="41" t="n">
        <f aca="false">IF(ISNUMBER(P96),IF(P97=0,0,MAX(0,P96)/P97),"")</f>
        <v>0</v>
      </c>
    </row>
    <row r="99" customFormat="false" ht="15" hidden="false" customHeight="false" outlineLevel="0" collapsed="false">
      <c r="O99" s="48" t="s">
        <v>83</v>
      </c>
      <c r="P99" s="10" t="str">
        <f aca="false">IF(NOT($P$94=$P$93*($P$93-1)/2),"ناقص",IF(P98&lt;=$P$3,"سازگار","ناسازگار"))</f>
        <v>سازگار</v>
      </c>
    </row>
    <row r="100" customFormat="false" ht="15" hidden="false" customHeight="false" outlineLevel="0" collapsed="false">
      <c r="O100" s="48" t="s">
        <v>233</v>
      </c>
      <c r="P100" s="30" t="n">
        <f aca="false">IF(COUNT(AA93:AA95)=0,"",MAX(AA93:AA95))</f>
        <v>1</v>
      </c>
    </row>
    <row r="101" customFormat="false" ht="15" hidden="false" customHeight="false" outlineLevel="0" collapsed="false">
      <c r="O101" s="48" t="s">
        <v>234</v>
      </c>
      <c r="P101" s="19" t="str">
        <f aca="false">IF(ISNUMBER(P100),INDEX(A93:A95,MATCH(P100,AA93:AA95,0))&amp;" و "&amp;INDEX(C92:E92,MATCH(P100,INDEX(R93:T95,MATCH(P100,AA93:AA95,0),0),0)),"")</f>
        <v>گ۲۲ و گ۲۳</v>
      </c>
    </row>
    <row r="103" customFormat="false" ht="15" hidden="false" customHeight="false" outlineLevel="0" collapsed="false">
      <c r="A103" s="45" t="s">
        <v>244</v>
      </c>
      <c r="B103" s="45"/>
      <c r="C103" s="45"/>
      <c r="D103" s="45"/>
      <c r="E103" s="45"/>
      <c r="F103" s="45"/>
      <c r="G103" s="45"/>
      <c r="H103" s="45"/>
      <c r="I103" s="45"/>
      <c r="J103" s="45"/>
      <c r="K103" s="45"/>
      <c r="L103" s="45"/>
      <c r="M103" s="45"/>
      <c r="Q103" s="46" t="s">
        <v>224</v>
      </c>
      <c r="R103" s="46"/>
      <c r="S103" s="46"/>
      <c r="T103" s="46"/>
      <c r="U103" s="46"/>
      <c r="V103" s="46"/>
      <c r="W103" s="46"/>
      <c r="X103" s="46"/>
      <c r="Y103" s="46"/>
      <c r="Z103" s="46"/>
      <c r="AA103" s="46"/>
    </row>
    <row r="104" customFormat="false" ht="27.75" hidden="false" customHeight="true" outlineLevel="0" collapsed="false">
      <c r="A104" s="8" t="s">
        <v>199</v>
      </c>
      <c r="B104" s="8" t="s">
        <v>225</v>
      </c>
      <c r="C104" s="8" t="s">
        <v>165</v>
      </c>
      <c r="D104" s="8" t="s">
        <v>167</v>
      </c>
      <c r="E104" s="8" t="s">
        <v>169</v>
      </c>
      <c r="L104" s="7" t="s">
        <v>226</v>
      </c>
      <c r="M104" s="8" t="s">
        <v>227</v>
      </c>
      <c r="Q104" s="8" t="s">
        <v>199</v>
      </c>
      <c r="R104" s="8" t="s">
        <v>165</v>
      </c>
      <c r="S104" s="8" t="s">
        <v>167</v>
      </c>
      <c r="T104" s="8" t="s">
        <v>169</v>
      </c>
      <c r="AA104" s="47" t="s">
        <v>228</v>
      </c>
    </row>
    <row r="105" customFormat="false" ht="27" hidden="false" customHeight="true" outlineLevel="0" collapsed="false">
      <c r="A105" s="19" t="s">
        <v>165</v>
      </c>
      <c r="B105" s="9" t="s">
        <v>166</v>
      </c>
      <c r="C105" s="31" t="n">
        <v>1</v>
      </c>
      <c r="D105" s="31" t="n">
        <f aca="false">نسبت!N75</f>
        <v>1.48599428913695</v>
      </c>
      <c r="E105" s="31" t="n">
        <f aca="false">نسبت!N76</f>
        <v>1.48599428913695</v>
      </c>
      <c r="L105" s="37" t="n">
        <f aca="false">IF($P$106=$P$105*($P$105-1)/2,GEOMEAN(C105:E105),"")</f>
        <v>1.30220120709323</v>
      </c>
      <c r="M105" s="36" t="n">
        <f aca="false">IF($P$106=$P$105*($P$105-1)/2,L105/SUM($L$105:$L$107),"")</f>
        <v>0.426275594818845</v>
      </c>
      <c r="O105" s="48" t="s">
        <v>229</v>
      </c>
      <c r="P105" s="11" t="n">
        <f aca="false">ROWS(A105:A107)</f>
        <v>3</v>
      </c>
      <c r="Q105" s="8" t="s">
        <v>165</v>
      </c>
      <c r="S105" s="30" t="n">
        <f aca="false">IF(AND(ISNUMBER(D105),ISNUMBER($M105),ISNUMBER($M106)),MAX(D105*$M106/$M105,$M105/(D105*$M106)),"")</f>
        <v>1</v>
      </c>
      <c r="T105" s="30" t="n">
        <f aca="false">IF(AND(ISNUMBER(E105),ISNUMBER($M105),ISNUMBER($M107)),MAX(E105*$M107/$M105,$M105/(E105*$M107)),"")</f>
        <v>1</v>
      </c>
      <c r="AA105" s="49" t="n">
        <f aca="false">IF(COUNT(R105:T105)=0,"",MAX(R105:T105))</f>
        <v>1</v>
      </c>
    </row>
    <row r="106" customFormat="false" ht="27" hidden="false" customHeight="true" outlineLevel="0" collapsed="false">
      <c r="A106" s="19" t="s">
        <v>167</v>
      </c>
      <c r="B106" s="9" t="s">
        <v>168</v>
      </c>
      <c r="C106" s="31" t="n">
        <f aca="false">IF(ISNUMBER(D105),1/D105,"")</f>
        <v>0.672950096316178</v>
      </c>
      <c r="D106" s="31" t="n">
        <v>1</v>
      </c>
      <c r="E106" s="31" t="n">
        <f aca="false">نسبت!N77</f>
        <v>1</v>
      </c>
      <c r="L106" s="37" t="n">
        <f aca="false">IF($P$106=$P$105*($P$105-1)/2,GEOMEAN(C106:E106),"")</f>
        <v>0.876316427736434</v>
      </c>
      <c r="M106" s="36" t="n">
        <f aca="false">IF($P$106=$P$105*($P$105-1)/2,L106/SUM($L$105:$L$107),"")</f>
        <v>0.286862202590578</v>
      </c>
      <c r="O106" s="48" t="s">
        <v>230</v>
      </c>
      <c r="P106" s="11" t="n">
        <f aca="false">(COUNT(C105:E107)-$P$105)/2</f>
        <v>3</v>
      </c>
      <c r="Q106" s="8" t="s">
        <v>167</v>
      </c>
      <c r="T106" s="30" t="n">
        <f aca="false">IF(AND(ISNUMBER(E106),ISNUMBER($M106),ISNUMBER($M107)),MAX(E106*$M107/$M106,$M106/(E106*$M107)),"")</f>
        <v>1</v>
      </c>
      <c r="AA106" s="49" t="n">
        <f aca="false">IF(COUNT(R106:T106)=0,"",MAX(R106:T106))</f>
        <v>1</v>
      </c>
    </row>
    <row r="107" customFormat="false" ht="27" hidden="false" customHeight="true" outlineLevel="0" collapsed="false">
      <c r="A107" s="19" t="s">
        <v>169</v>
      </c>
      <c r="B107" s="9" t="s">
        <v>170</v>
      </c>
      <c r="C107" s="31" t="n">
        <f aca="false">IF(ISNUMBER(E105),1/E105,"")</f>
        <v>0.672950096316178</v>
      </c>
      <c r="D107" s="31" t="n">
        <f aca="false">IF(ISNUMBER(E106),1/E106,"")</f>
        <v>1</v>
      </c>
      <c r="E107" s="31" t="n">
        <v>1</v>
      </c>
      <c r="L107" s="37" t="n">
        <f aca="false">IF($P$106=$P$105*($P$105-1)/2,GEOMEAN(C107:E107),"")</f>
        <v>0.876316427736434</v>
      </c>
      <c r="M107" s="36" t="n">
        <f aca="false">IF($P$106=$P$105*($P$105-1)/2,L107/SUM($L$105:$L$107),"")</f>
        <v>0.286862202590578</v>
      </c>
      <c r="O107" s="48" t="s">
        <v>231</v>
      </c>
      <c r="P107" s="37" t="n">
        <f aca="false">IF($P$106=$P$105*($P$105-1)/2,SUMPRODUCT(C108:E108,C109:E109),"")</f>
        <v>3</v>
      </c>
      <c r="Q107" s="8" t="s">
        <v>169</v>
      </c>
    </row>
    <row r="108" customFormat="false" ht="15" hidden="false" customHeight="false" outlineLevel="0" collapsed="false">
      <c r="A108" s="50"/>
      <c r="B108" s="51" t="s">
        <v>235</v>
      </c>
      <c r="C108" s="52" t="n">
        <f aca="false">IF($P$106=$P$105*($P$105-1)/2,SUM(C105:C107),"")</f>
        <v>2.34590019263236</v>
      </c>
      <c r="D108" s="52" t="n">
        <f aca="false">IF($P$106=$P$105*($P$105-1)/2,SUM(D105:D107),"")</f>
        <v>3.48599428913695</v>
      </c>
      <c r="E108" s="52" t="n">
        <f aca="false">IF($P$106=$P$105*($P$105-1)/2,SUM(E105:E107),"")</f>
        <v>3.48599428913695</v>
      </c>
      <c r="M108" s="53" t="n">
        <f aca="false">IF($P$106=$P$105*($P$105-1)/2,SUM(M105:M107),"")</f>
        <v>1</v>
      </c>
      <c r="O108" s="48" t="s">
        <v>48</v>
      </c>
      <c r="P108" s="37" t="n">
        <f aca="false">IF(ISNUMBER(P107),(P107-$P$105)/($P$105-1),"")</f>
        <v>0</v>
      </c>
    </row>
    <row r="109" customFormat="false" ht="15" hidden="false" customHeight="false" outlineLevel="0" collapsed="false">
      <c r="A109" s="50"/>
      <c r="B109" s="51" t="s">
        <v>236</v>
      </c>
      <c r="C109" s="53" t="n">
        <f aca="false">M105</f>
        <v>0.426275594818845</v>
      </c>
      <c r="D109" s="53" t="n">
        <f aca="false">M106</f>
        <v>0.286862202590578</v>
      </c>
      <c r="E109" s="53" t="n">
        <f aca="false">M107</f>
        <v>0.286862202590578</v>
      </c>
      <c r="O109" s="48" t="s">
        <v>232</v>
      </c>
      <c r="P109" s="30" t="n">
        <f aca="false">INDEX(راهنما!$C$29:$C$38,MATCH($P$105,راهنما!$B$29:$B$38,0))</f>
        <v>0.58</v>
      </c>
    </row>
    <row r="110" customFormat="false" ht="15" hidden="false" customHeight="false" outlineLevel="0" collapsed="false">
      <c r="O110" s="48" t="s">
        <v>50</v>
      </c>
      <c r="P110" s="41" t="n">
        <f aca="false">IF(ISNUMBER(P108),IF(P109=0,0,MAX(0,P108)/P109),"")</f>
        <v>0</v>
      </c>
    </row>
    <row r="111" customFormat="false" ht="15" hidden="false" customHeight="false" outlineLevel="0" collapsed="false">
      <c r="O111" s="48" t="s">
        <v>83</v>
      </c>
      <c r="P111" s="10" t="str">
        <f aca="false">IF(NOT($P$106=$P$105*($P$105-1)/2),"ناقص",IF(P110&lt;=$P$3,"سازگار","ناسازگار"))</f>
        <v>سازگار</v>
      </c>
    </row>
    <row r="112" customFormat="false" ht="15" hidden="false" customHeight="false" outlineLevel="0" collapsed="false">
      <c r="O112" s="48" t="s">
        <v>233</v>
      </c>
      <c r="P112" s="30" t="n">
        <f aca="false">IF(COUNT(AA105:AA107)=0,"",MAX(AA105:AA107))</f>
        <v>1</v>
      </c>
    </row>
    <row r="113" customFormat="false" ht="15" hidden="false" customHeight="false" outlineLevel="0" collapsed="false">
      <c r="O113" s="48" t="s">
        <v>234</v>
      </c>
      <c r="P113" s="19" t="str">
        <f aca="false">IF(ISNUMBER(P112),INDEX(A105:A107,MATCH(P112,AA105:AA107,0))&amp;" و "&amp;INDEX(C104:E104,MATCH(P112,INDEX(R105:T107,MATCH(P112,AA105:AA107,0),0),0)),"")</f>
        <v>گ۲۵ و گ۲۶</v>
      </c>
    </row>
    <row r="115" customFormat="false" ht="15" hidden="false" customHeight="false" outlineLevel="0" collapsed="false">
      <c r="A115" s="45" t="s">
        <v>245</v>
      </c>
      <c r="B115" s="45"/>
      <c r="C115" s="45"/>
      <c r="D115" s="45"/>
      <c r="E115" s="45"/>
      <c r="F115" s="45"/>
      <c r="G115" s="45"/>
      <c r="H115" s="45"/>
      <c r="I115" s="45"/>
      <c r="J115" s="45"/>
      <c r="K115" s="45"/>
      <c r="L115" s="45"/>
      <c r="M115" s="45"/>
      <c r="Q115" s="46" t="s">
        <v>224</v>
      </c>
      <c r="R115" s="46"/>
      <c r="S115" s="46"/>
      <c r="T115" s="46"/>
      <c r="U115" s="46"/>
      <c r="V115" s="46"/>
      <c r="W115" s="46"/>
      <c r="X115" s="46"/>
      <c r="Y115" s="46"/>
      <c r="Z115" s="46"/>
      <c r="AA115" s="46"/>
    </row>
    <row r="116" customFormat="false" ht="27.75" hidden="false" customHeight="true" outlineLevel="0" collapsed="false">
      <c r="A116" s="8" t="s">
        <v>199</v>
      </c>
      <c r="B116" s="8" t="s">
        <v>225</v>
      </c>
      <c r="C116" s="8" t="s">
        <v>171</v>
      </c>
      <c r="D116" s="8" t="s">
        <v>173</v>
      </c>
      <c r="L116" s="7" t="s">
        <v>226</v>
      </c>
      <c r="M116" s="8" t="s">
        <v>227</v>
      </c>
      <c r="Q116" s="8" t="s">
        <v>199</v>
      </c>
      <c r="R116" s="8" t="s">
        <v>171</v>
      </c>
      <c r="S116" s="8" t="s">
        <v>173</v>
      </c>
      <c r="AA116" s="47" t="s">
        <v>228</v>
      </c>
    </row>
    <row r="117" customFormat="false" ht="27" hidden="false" customHeight="true" outlineLevel="0" collapsed="false">
      <c r="A117" s="19" t="s">
        <v>171</v>
      </c>
      <c r="B117" s="9" t="s">
        <v>172</v>
      </c>
      <c r="C117" s="31" t="n">
        <v>1</v>
      </c>
      <c r="D117" s="31" t="n">
        <f aca="false">نسبت!N78</f>
        <v>2</v>
      </c>
      <c r="L117" s="37" t="n">
        <f aca="false">IF($P$118=$P$117*($P$117-1)/2,GEOMEAN(C117:D117),"")</f>
        <v>1.4142135623731</v>
      </c>
      <c r="M117" s="36" t="n">
        <f aca="false">IF($P$118=$P$117*($P$117-1)/2,L117/SUM($L$117:$L$118),"")</f>
        <v>0.666666666666667</v>
      </c>
      <c r="O117" s="48" t="s">
        <v>229</v>
      </c>
      <c r="P117" s="11" t="n">
        <f aca="false">ROWS(A117:A118)</f>
        <v>2</v>
      </c>
      <c r="Q117" s="8" t="s">
        <v>171</v>
      </c>
      <c r="S117" s="30" t="n">
        <f aca="false">IF(AND(ISNUMBER(D117),ISNUMBER($M117),ISNUMBER($M118)),MAX(D117*$M118/$M117,$M117/(D117*$M118)),"")</f>
        <v>1</v>
      </c>
      <c r="AA117" s="49" t="n">
        <f aca="false">IF(COUNT(R117:S117)=0,"",MAX(R117:S117))</f>
        <v>1</v>
      </c>
    </row>
    <row r="118" customFormat="false" ht="27" hidden="false" customHeight="true" outlineLevel="0" collapsed="false">
      <c r="A118" s="19" t="s">
        <v>173</v>
      </c>
      <c r="B118" s="9" t="s">
        <v>174</v>
      </c>
      <c r="C118" s="31" t="n">
        <f aca="false">IF(ISNUMBER(D117),1/D117,"")</f>
        <v>0.5</v>
      </c>
      <c r="D118" s="31" t="n">
        <v>1</v>
      </c>
      <c r="L118" s="37" t="n">
        <f aca="false">IF($P$118=$P$117*($P$117-1)/2,GEOMEAN(C118:D118),"")</f>
        <v>0.707106781186548</v>
      </c>
      <c r="M118" s="36" t="n">
        <f aca="false">IF($P$118=$P$117*($P$117-1)/2,L118/SUM($L$117:$L$118),"")</f>
        <v>0.333333333333333</v>
      </c>
      <c r="O118" s="48" t="s">
        <v>230</v>
      </c>
      <c r="P118" s="11" t="n">
        <f aca="false">(COUNT(C117:D118)-$P$117)/2</f>
        <v>1</v>
      </c>
      <c r="Q118" s="8" t="s">
        <v>173</v>
      </c>
    </row>
    <row r="119" customFormat="false" ht="15" hidden="false" customHeight="false" outlineLevel="0" collapsed="false">
      <c r="A119" s="50"/>
      <c r="B119" s="51" t="s">
        <v>235</v>
      </c>
      <c r="C119" s="52" t="n">
        <f aca="false">IF($P$118=$P$117*($P$117-1)/2,SUM(C117:C118),"")</f>
        <v>1.5</v>
      </c>
      <c r="D119" s="52" t="n">
        <f aca="false">IF($P$118=$P$117*($P$117-1)/2,SUM(D117:D118),"")</f>
        <v>3</v>
      </c>
      <c r="M119" s="53" t="n">
        <f aca="false">IF($P$118=$P$117*($P$117-1)/2,SUM(M117:M118),"")</f>
        <v>1</v>
      </c>
      <c r="O119" s="48" t="s">
        <v>231</v>
      </c>
      <c r="P119" s="37" t="n">
        <f aca="false">IF($P$118=$P$117*($P$117-1)/2,SUMPRODUCT(C119:D119,C120:D120),"")</f>
        <v>2</v>
      </c>
    </row>
    <row r="120" customFormat="false" ht="15" hidden="false" customHeight="false" outlineLevel="0" collapsed="false">
      <c r="A120" s="50"/>
      <c r="B120" s="51" t="s">
        <v>236</v>
      </c>
      <c r="C120" s="53" t="n">
        <f aca="false">M117</f>
        <v>0.666666666666667</v>
      </c>
      <c r="D120" s="53" t="n">
        <f aca="false">M118</f>
        <v>0.333333333333333</v>
      </c>
      <c r="O120" s="48" t="s">
        <v>48</v>
      </c>
      <c r="P120" s="37" t="n">
        <f aca="false">IF(ISNUMBER(P119),(P119-$P$117)/($P$117-1),"")</f>
        <v>0</v>
      </c>
    </row>
    <row r="121" customFormat="false" ht="15" hidden="false" customHeight="false" outlineLevel="0" collapsed="false">
      <c r="O121" s="48" t="s">
        <v>232</v>
      </c>
      <c r="P121" s="30" t="n">
        <f aca="false">INDEX(راهنما!$C$29:$C$38,MATCH($P$117,راهنما!$B$29:$B$38,0))</f>
        <v>0</v>
      </c>
    </row>
    <row r="122" customFormat="false" ht="15" hidden="false" customHeight="false" outlineLevel="0" collapsed="false">
      <c r="O122" s="48" t="s">
        <v>50</v>
      </c>
      <c r="P122" s="41" t="n">
        <f aca="false">IF(ISNUMBER(P120),IF(P121=0,0,MAX(0,P120)/P121),"")</f>
        <v>0</v>
      </c>
    </row>
    <row r="123" customFormat="false" ht="15" hidden="false" customHeight="false" outlineLevel="0" collapsed="false">
      <c r="O123" s="48" t="s">
        <v>83</v>
      </c>
      <c r="P123" s="10" t="str">
        <f aca="false">IF(NOT($P$118=$P$117*($P$117-1)/2),"ناقص",IF(P122&lt;=$P$3,"سازگار","ناسازگار"))</f>
        <v>سازگار</v>
      </c>
    </row>
    <row r="124" customFormat="false" ht="15" hidden="false" customHeight="false" outlineLevel="0" collapsed="false">
      <c r="O124" s="48" t="s">
        <v>233</v>
      </c>
      <c r="P124" s="30" t="n">
        <f aca="false">IF(COUNT(AA117:AA118)=0,"",MAX(AA117:AA118))</f>
        <v>1</v>
      </c>
    </row>
    <row r="125" customFormat="false" ht="15" hidden="false" customHeight="false" outlineLevel="0" collapsed="false">
      <c r="O125" s="48" t="s">
        <v>234</v>
      </c>
      <c r="P125" s="19" t="str">
        <f aca="false">IF(ISNUMBER(P124),INDEX(A117:A118,MATCH(P124,AA117:AA118,0))&amp;" و "&amp;INDEX(C116:D116,MATCH(P124,INDEX(R117:S118,MATCH(P124,AA117:AA118,0),0),0)),"")</f>
        <v>گ۲۸ و گ۲۹</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246</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2" t="s">
        <v>247</v>
      </c>
    </row>
    <row r="3" customFormat="false" ht="15" hidden="false" customHeight="false" outlineLevel="0" collapsed="false">
      <c r="A3" s="43" t="s">
        <v>248</v>
      </c>
      <c r="B3" s="54" t="n">
        <f aca="false">COUNT(ورودی!G9:G78)</f>
        <v>70</v>
      </c>
      <c r="O3" s="25" t="s">
        <v>177</v>
      </c>
      <c r="P3" s="30" t="n">
        <f aca="false">راهنما!$C$26</f>
        <v>0.1</v>
      </c>
    </row>
    <row r="5" customFormat="false" ht="15" hidden="false" customHeight="false" outlineLevel="0" collapsed="false">
      <c r="A5" s="45" t="s">
        <v>223</v>
      </c>
      <c r="B5" s="45"/>
      <c r="C5" s="45"/>
      <c r="D5" s="45"/>
      <c r="E5" s="45"/>
      <c r="F5" s="45"/>
      <c r="G5" s="45"/>
      <c r="H5" s="45"/>
      <c r="I5" s="45"/>
      <c r="J5" s="45"/>
      <c r="K5" s="45"/>
      <c r="L5" s="45"/>
      <c r="M5" s="45"/>
      <c r="Q5" s="46" t="s">
        <v>224</v>
      </c>
      <c r="R5" s="46"/>
      <c r="S5" s="46"/>
      <c r="T5" s="46"/>
      <c r="U5" s="46"/>
      <c r="V5" s="46"/>
      <c r="W5" s="46"/>
      <c r="X5" s="46"/>
      <c r="Y5" s="46"/>
      <c r="Z5" s="46"/>
      <c r="AA5" s="46"/>
    </row>
    <row r="6" customFormat="false" ht="27.75" hidden="false" customHeight="true" outlineLevel="0" collapsed="false">
      <c r="A6" s="8" t="s">
        <v>199</v>
      </c>
      <c r="B6" s="8" t="s">
        <v>225</v>
      </c>
      <c r="C6" s="8" t="s">
        <v>98</v>
      </c>
      <c r="D6" s="8" t="s">
        <v>100</v>
      </c>
      <c r="E6" s="8" t="s">
        <v>102</v>
      </c>
      <c r="F6" s="8" t="s">
        <v>104</v>
      </c>
      <c r="G6" s="8" t="s">
        <v>106</v>
      </c>
      <c r="H6" s="8" t="s">
        <v>108</v>
      </c>
      <c r="I6" s="8" t="s">
        <v>110</v>
      </c>
      <c r="J6" s="8" t="s">
        <v>112</v>
      </c>
      <c r="K6" s="8" t="s">
        <v>114</v>
      </c>
      <c r="L6" s="7" t="s">
        <v>226</v>
      </c>
      <c r="M6" s="8" t="s">
        <v>227</v>
      </c>
      <c r="Q6" s="8" t="s">
        <v>199</v>
      </c>
      <c r="R6" s="8" t="s">
        <v>98</v>
      </c>
      <c r="S6" s="8" t="s">
        <v>100</v>
      </c>
      <c r="T6" s="8" t="s">
        <v>102</v>
      </c>
      <c r="U6" s="8" t="s">
        <v>104</v>
      </c>
      <c r="V6" s="8" t="s">
        <v>106</v>
      </c>
      <c r="W6" s="8" t="s">
        <v>108</v>
      </c>
      <c r="X6" s="8" t="s">
        <v>110</v>
      </c>
      <c r="Y6" s="8" t="s">
        <v>112</v>
      </c>
      <c r="Z6" s="8" t="s">
        <v>114</v>
      </c>
      <c r="AA6" s="47" t="s">
        <v>228</v>
      </c>
    </row>
    <row r="7" customFormat="false" ht="27" hidden="false" customHeight="true" outlineLevel="0" collapsed="false">
      <c r="A7" s="19" t="s">
        <v>98</v>
      </c>
      <c r="B7" s="9" t="s">
        <v>99</v>
      </c>
      <c r="C7" s="31" t="n">
        <v>1</v>
      </c>
      <c r="D7" s="31" t="n">
        <f aca="false">نسبت!G9</f>
        <v>2</v>
      </c>
      <c r="E7" s="31" t="n">
        <f aca="false">نسبت!G10</f>
        <v>2</v>
      </c>
      <c r="F7" s="31" t="n">
        <f aca="false">نسبت!G11</f>
        <v>2</v>
      </c>
      <c r="G7" s="31" t="n">
        <f aca="false">نسبت!G12</f>
        <v>1</v>
      </c>
      <c r="H7" s="31" t="n">
        <f aca="false">نسبت!G13</f>
        <v>1</v>
      </c>
      <c r="I7" s="31" t="n">
        <f aca="false">نسبت!G14</f>
        <v>1</v>
      </c>
      <c r="J7" s="31" t="n">
        <f aca="false">نسبت!G15</f>
        <v>1</v>
      </c>
      <c r="K7" s="31" t="n">
        <f aca="false">نسبت!G16</f>
        <v>1</v>
      </c>
      <c r="L7" s="37" t="n">
        <f aca="false">IF($P$8=$P$7*($P$7-1)/2,GEOMEAN(C7:K7),"")</f>
        <v>1.25992104989487</v>
      </c>
      <c r="M7" s="36" t="n">
        <f aca="false">IF($P$8=$P$7*($P$7-1)/2,L7/SUM($L$7:$L$15),"")</f>
        <v>0.133283721097511</v>
      </c>
      <c r="O7" s="48" t="s">
        <v>229</v>
      </c>
      <c r="P7" s="11" t="n">
        <f aca="false">ROWS(A7:A15)</f>
        <v>9</v>
      </c>
      <c r="Q7" s="8" t="s">
        <v>98</v>
      </c>
      <c r="S7" s="30" t="n">
        <f aca="false">IF(AND(ISNUMBER(D7),ISNUMBER($M7),ISNUMBER($M8)),MAX(D7*$M8/$M7,$M7/(D7*$M8)),"")</f>
        <v>1.04608191864321</v>
      </c>
      <c r="T7" s="30" t="n">
        <f aca="false">IF(AND(ISNUMBER(E7),ISNUMBER($M7),ISNUMBER($M9)),MAX(E7*$M9/$M7,$M7/(E7*$M9)),"")</f>
        <v>1.08005973889231</v>
      </c>
      <c r="U7" s="30" t="n">
        <f aca="false">IF(AND(ISNUMBER(F7),ISNUMBER($M7),ISNUMBER($M10)),MAX(F7*$M10/$M7,$M7/(F7*$M10)),"")</f>
        <v>1.08005973889231</v>
      </c>
      <c r="V7" s="30" t="n">
        <f aca="false">IF(AND(ISNUMBER(G7),ISNUMBER($M7),ISNUMBER($M11)),MAX(G7*$M11/$M7,$M7/(G7*$M11)),"")</f>
        <v>1.36079000017438</v>
      </c>
      <c r="W7" s="30" t="n">
        <f aca="false">IF(AND(ISNUMBER(H7),ISNUMBER($M7),ISNUMBER($M12)),MAX(H7*$M12/$M7,$M7/(H7*$M12)),"")</f>
        <v>1</v>
      </c>
      <c r="X7" s="30" t="n">
        <f aca="false">IF(AND(ISNUMBER(I7),ISNUMBER($M7),ISNUMBER($M13)),MAX(I7*$M13/$M7,$M7/(I7*$M13)),"")</f>
        <v>1.12983096390975</v>
      </c>
      <c r="Y7" s="30" t="n">
        <f aca="false">IF(AND(ISNUMBER(J7),ISNUMBER($M7),ISNUMBER($M14)),MAX(J7*$M14/$M7,$M7/(J7*$M14)),"")</f>
        <v>1</v>
      </c>
      <c r="Z7" s="30" t="n">
        <f aca="false">IF(AND(ISNUMBER(K7),ISNUMBER($M7),ISNUMBER($M15)),MAX(K7*$M15/$M7,$M7/(K7*$M15)),"")</f>
        <v>1.08005973889231</v>
      </c>
      <c r="AA7" s="49" t="n">
        <f aca="false">IF(COUNT(R7:Z7)=0,"",MAX(R7:Z7))</f>
        <v>1.36079000017438</v>
      </c>
    </row>
    <row r="8" customFormat="false" ht="27" hidden="false" customHeight="true" outlineLevel="0" collapsed="false">
      <c r="A8" s="19" t="s">
        <v>100</v>
      </c>
      <c r="B8" s="9" t="s">
        <v>101</v>
      </c>
      <c r="C8" s="31" t="n">
        <f aca="false">IF(ISNUMBER(D7),1/D7,"")</f>
        <v>0.5</v>
      </c>
      <c r="D8" s="31" t="n">
        <v>1</v>
      </c>
      <c r="E8" s="31" t="n">
        <f aca="false">نسبت!G17</f>
        <v>1</v>
      </c>
      <c r="F8" s="31" t="n">
        <f aca="false">نسبت!G18</f>
        <v>1</v>
      </c>
      <c r="G8" s="31" t="n">
        <f aca="false">نسبت!G19</f>
        <v>0.5</v>
      </c>
      <c r="H8" s="31" t="n">
        <f aca="false">نسبت!G20</f>
        <v>0.5</v>
      </c>
      <c r="I8" s="31" t="n">
        <f aca="false">نسبت!G21</f>
        <v>0.333333333333333</v>
      </c>
      <c r="J8" s="31" t="n">
        <f aca="false">نسبت!G22</f>
        <v>0.5</v>
      </c>
      <c r="K8" s="31" t="n">
        <f aca="false">نسبت!G23</f>
        <v>0.5</v>
      </c>
      <c r="L8" s="37" t="n">
        <f aca="false">IF($P$8=$P$7*($P$7-1)/2,GEOMEAN(C8:K8),"")</f>
        <v>0.602209553305831</v>
      </c>
      <c r="M8" s="36" t="n">
        <f aca="false">IF($P$8=$P$7*($P$7-1)/2,L8/SUM($L$7:$L$15),"")</f>
        <v>0.0637061585341148</v>
      </c>
      <c r="O8" s="48" t="s">
        <v>230</v>
      </c>
      <c r="P8" s="11" t="n">
        <f aca="false">(COUNT(C7:K15)-$P$7)/2</f>
        <v>36</v>
      </c>
      <c r="Q8" s="8" t="s">
        <v>100</v>
      </c>
      <c r="T8" s="30" t="n">
        <f aca="false">IF(AND(ISNUMBER(E8),ISNUMBER($M8),ISNUMBER($M9)),MAX(E8*$M9/$M8,$M8/(E8*$M9)),"")</f>
        <v>1.12983096390975</v>
      </c>
      <c r="U8" s="30" t="n">
        <f aca="false">IF(AND(ISNUMBER(F8),ISNUMBER($M8),ISNUMBER($M10)),MAX(F8*$M10/$M8,$M8/(F8*$M10)),"")</f>
        <v>1.12983096390975</v>
      </c>
      <c r="V8" s="30" t="n">
        <f aca="false">IF(AND(ISNUMBER(G8),ISNUMBER($M8),ISNUMBER($M11)),MAX(G8*$M11/$M8,$M8/(G8*$M11)),"")</f>
        <v>1.3008445858039</v>
      </c>
      <c r="W8" s="30" t="n">
        <f aca="false">IF(AND(ISNUMBER(H8),ISNUMBER($M8),ISNUMBER($M12)),MAX(H8*$M12/$M8,$M8/(H8*$M12)),"")</f>
        <v>1.04608191864321</v>
      </c>
      <c r="X8" s="30" t="n">
        <f aca="false">IF(AND(ISNUMBER(I8),ISNUMBER($M8),ISNUMBER($M13)),MAX(I8*$M13/$M8,$M8/(I8*$M13)),"")</f>
        <v>1.26914747731148</v>
      </c>
      <c r="Y8" s="30" t="n">
        <f aca="false">IF(AND(ISNUMBER(J8),ISNUMBER($M8),ISNUMBER($M14)),MAX(J8*$M14/$M8,$M8/(J8*$M14)),"")</f>
        <v>1.04608191864321</v>
      </c>
      <c r="Z8" s="30" t="n">
        <f aca="false">IF(AND(ISNUMBER(K8),ISNUMBER($M8),ISNUMBER($M15)),MAX(K8*$M15/$M8,$M8/(K8*$M15)),"")</f>
        <v>1.12983096390975</v>
      </c>
      <c r="AA8" s="49" t="n">
        <f aca="false">IF(COUNT(R8:Z8)=0,"",MAX(R8:Z8))</f>
        <v>1.3008445858039</v>
      </c>
    </row>
    <row r="9" customFormat="false" ht="27" hidden="false" customHeight="true" outlineLevel="0" collapsed="false">
      <c r="A9" s="19" t="s">
        <v>102</v>
      </c>
      <c r="B9" s="9" t="s">
        <v>103</v>
      </c>
      <c r="C9" s="31" t="n">
        <f aca="false">IF(ISNUMBER(E7),1/E7,"")</f>
        <v>0.5</v>
      </c>
      <c r="D9" s="31" t="n">
        <f aca="false">IF(ISNUMBER(E8),1/E8,"")</f>
        <v>1</v>
      </c>
      <c r="E9" s="31" t="n">
        <v>1</v>
      </c>
      <c r="F9" s="31" t="n">
        <f aca="false">نسبت!G24</f>
        <v>1</v>
      </c>
      <c r="G9" s="31" t="n">
        <f aca="false">نسبت!G25</f>
        <v>1</v>
      </c>
      <c r="H9" s="31" t="n">
        <f aca="false">نسبت!G26</f>
        <v>0.5</v>
      </c>
      <c r="I9" s="31" t="n">
        <f aca="false">نسبت!G27</f>
        <v>0.5</v>
      </c>
      <c r="J9" s="31" t="n">
        <f aca="false">نسبت!G28</f>
        <v>0.5</v>
      </c>
      <c r="K9" s="31" t="n">
        <f aca="false">نسبت!G29</f>
        <v>0.5</v>
      </c>
      <c r="L9" s="37" t="n">
        <f aca="false">IF($P$8=$P$7*($P$7-1)/2,GEOMEAN(C9:K9),"")</f>
        <v>0.680395000087189</v>
      </c>
      <c r="M9" s="36" t="n">
        <f aca="false">IF($P$8=$P$7*($P$7-1)/2,L9/SUM($L$7:$L$15),"")</f>
        <v>0.0719771905035864</v>
      </c>
      <c r="O9" s="48" t="s">
        <v>231</v>
      </c>
      <c r="P9" s="37" t="n">
        <f aca="false">IF($P$8=$P$7*($P$7-1)/2,SUMPRODUCT(C16:K16,C17:K17),"")</f>
        <v>9.09867410676274</v>
      </c>
      <c r="Q9" s="8" t="s">
        <v>102</v>
      </c>
      <c r="U9" s="30" t="n">
        <f aca="false">IF(AND(ISNUMBER(F9),ISNUMBER($M9),ISNUMBER($M10)),MAX(F9*$M10/$M9,$M9/(F9*$M10)),"")</f>
        <v>1</v>
      </c>
      <c r="V9" s="30" t="n">
        <f aca="false">IF(AND(ISNUMBER(G9),ISNUMBER($M9),ISNUMBER($M11)),MAX(G9*$M11/$M9,$M9/(G9*$M11)),"")</f>
        <v>1.36079000017438</v>
      </c>
      <c r="W9" s="30" t="n">
        <f aca="false">IF(AND(ISNUMBER(H9),ISNUMBER($M9),ISNUMBER($M12)),MAX(H9*$M12/$M9,$M9/(H9*$M12)),"")</f>
        <v>1.08005973889231</v>
      </c>
      <c r="X9" s="30" t="n">
        <f aca="false">IF(AND(ISNUMBER(I9),ISNUMBER($M9),ISNUMBER($M13)),MAX(I9*$M13/$M9,$M9/(I9*$M13)),"")</f>
        <v>1.04608191864321</v>
      </c>
      <c r="Y9" s="30" t="n">
        <f aca="false">IF(AND(ISNUMBER(J9),ISNUMBER($M9),ISNUMBER($M14)),MAX(J9*$M14/$M9,$M9/(J9*$M14)),"")</f>
        <v>1.08005973889231</v>
      </c>
      <c r="Z9" s="30" t="n">
        <f aca="false">IF(AND(ISNUMBER(K9),ISNUMBER($M9),ISNUMBER($M15)),MAX(K9*$M15/$M9,$M9/(K9*$M15)),"")</f>
        <v>1</v>
      </c>
      <c r="AA9" s="49" t="n">
        <f aca="false">IF(COUNT(R9:Z9)=0,"",MAX(R9:Z9))</f>
        <v>1.36079000017438</v>
      </c>
    </row>
    <row r="10" customFormat="false" ht="27" hidden="false" customHeight="true" outlineLevel="0" collapsed="false">
      <c r="A10" s="19" t="s">
        <v>104</v>
      </c>
      <c r="B10" s="9" t="s">
        <v>105</v>
      </c>
      <c r="C10" s="31" t="n">
        <f aca="false">IF(ISNUMBER(F7),1/F7,"")</f>
        <v>0.5</v>
      </c>
      <c r="D10" s="31" t="n">
        <f aca="false">IF(ISNUMBER(F8),1/F8,"")</f>
        <v>1</v>
      </c>
      <c r="E10" s="31" t="n">
        <f aca="false">IF(ISNUMBER(F9),1/F9,"")</f>
        <v>1</v>
      </c>
      <c r="F10" s="31" t="n">
        <v>1</v>
      </c>
      <c r="G10" s="31" t="n">
        <f aca="false">نسبت!G30</f>
        <v>1</v>
      </c>
      <c r="H10" s="31" t="n">
        <f aca="false">نسبت!G31</f>
        <v>0.5</v>
      </c>
      <c r="I10" s="31" t="n">
        <f aca="false">نسبت!G32</f>
        <v>0.5</v>
      </c>
      <c r="J10" s="31" t="n">
        <f aca="false">نسبت!G33</f>
        <v>0.5</v>
      </c>
      <c r="K10" s="31" t="n">
        <f aca="false">نسبت!G34</f>
        <v>0.5</v>
      </c>
      <c r="L10" s="37" t="n">
        <f aca="false">IF($P$8=$P$7*($P$7-1)/2,GEOMEAN(C10:K10),"")</f>
        <v>0.680395000087189</v>
      </c>
      <c r="M10" s="36" t="n">
        <f aca="false">IF($P$8=$P$7*($P$7-1)/2,L10/SUM($L$7:$L$15),"")</f>
        <v>0.0719771905035864</v>
      </c>
      <c r="O10" s="48" t="s">
        <v>48</v>
      </c>
      <c r="P10" s="37" t="n">
        <f aca="false">IF(ISNUMBER(P9),(P9-$P$7)/($P$7-1),"")</f>
        <v>0.0123342633453423</v>
      </c>
      <c r="Q10" s="8" t="s">
        <v>104</v>
      </c>
      <c r="V10" s="30" t="n">
        <f aca="false">IF(AND(ISNUMBER(G10),ISNUMBER($M10),ISNUMBER($M11)),MAX(G10*$M11/$M10,$M10/(G10*$M11)),"")</f>
        <v>1.36079000017438</v>
      </c>
      <c r="W10" s="30" t="n">
        <f aca="false">IF(AND(ISNUMBER(H10),ISNUMBER($M10),ISNUMBER($M12)),MAX(H10*$M12/$M10,$M10/(H10*$M12)),"")</f>
        <v>1.08005973889231</v>
      </c>
      <c r="X10" s="30" t="n">
        <f aca="false">IF(AND(ISNUMBER(I10),ISNUMBER($M10),ISNUMBER($M13)),MAX(I10*$M13/$M10,$M10/(I10*$M13)),"")</f>
        <v>1.04608191864321</v>
      </c>
      <c r="Y10" s="30" t="n">
        <f aca="false">IF(AND(ISNUMBER(J10),ISNUMBER($M10),ISNUMBER($M14)),MAX(J10*$M14/$M10,$M10/(J10*$M14)),"")</f>
        <v>1.08005973889231</v>
      </c>
      <c r="Z10" s="30" t="n">
        <f aca="false">IF(AND(ISNUMBER(K10),ISNUMBER($M10),ISNUMBER($M15)),MAX(K10*$M15/$M10,$M10/(K10*$M15)),"")</f>
        <v>1</v>
      </c>
      <c r="AA10" s="49" t="n">
        <f aca="false">IF(COUNT(R10:Z10)=0,"",MAX(R10:Z10))</f>
        <v>1.36079000017438</v>
      </c>
    </row>
    <row r="11" customFormat="false" ht="27" hidden="false" customHeight="true" outlineLevel="0" collapsed="false">
      <c r="A11" s="19" t="s">
        <v>106</v>
      </c>
      <c r="B11" s="9" t="s">
        <v>107</v>
      </c>
      <c r="C11" s="31" t="n">
        <f aca="false">IF(ISNUMBER(G7),1/G7,"")</f>
        <v>1</v>
      </c>
      <c r="D11" s="31" t="n">
        <f aca="false">IF(ISNUMBER(G8),1/G8,"")</f>
        <v>2</v>
      </c>
      <c r="E11" s="31" t="n">
        <f aca="false">IF(ISNUMBER(G9),1/G9,"")</f>
        <v>1</v>
      </c>
      <c r="F11" s="31" t="n">
        <f aca="false">IF(ISNUMBER(G10),1/G10,"")</f>
        <v>1</v>
      </c>
      <c r="G11" s="31" t="n">
        <v>1</v>
      </c>
      <c r="H11" s="31" t="n">
        <f aca="false">نسبت!G35</f>
        <v>1</v>
      </c>
      <c r="I11" s="31" t="n">
        <f aca="false">نسبت!G36</f>
        <v>0.5</v>
      </c>
      <c r="J11" s="31" t="n">
        <f aca="false">نسبت!G37</f>
        <v>1</v>
      </c>
      <c r="K11" s="31" t="n">
        <f aca="false">نسبت!G38</f>
        <v>0.5</v>
      </c>
      <c r="L11" s="37" t="n">
        <f aca="false">IF($P$8=$P$7*($P$7-1)/2,GEOMEAN(C11:K11),"")</f>
        <v>0.925874712287291</v>
      </c>
      <c r="M11" s="36" t="n">
        <f aca="false">IF($P$8=$P$7*($P$7-1)/2,L11/SUM($L$7:$L$15),"")</f>
        <v>0.0979458410779265</v>
      </c>
      <c r="O11" s="48" t="s">
        <v>232</v>
      </c>
      <c r="P11" s="30" t="n">
        <f aca="false">INDEX(راهنما!$C$29:$C$38,MATCH($P$7,راهنما!$B$29:$B$38,0))</f>
        <v>1.45</v>
      </c>
      <c r="Q11" s="8" t="s">
        <v>106</v>
      </c>
      <c r="W11" s="30" t="n">
        <f aca="false">IF(AND(ISNUMBER(H11),ISNUMBER($M11),ISNUMBER($M12)),MAX(H11*$M12/$M11,$M11/(H11*$M12)),"")</f>
        <v>1.36079000017438</v>
      </c>
      <c r="X11" s="30" t="n">
        <f aca="false">IF(AND(ISNUMBER(I11),ISNUMBER($M11),ISNUMBER($M13)),MAX(I11*$M13/$M11,$M11/(I11*$M13)),"")</f>
        <v>1.3008445858039</v>
      </c>
      <c r="Y11" s="30" t="n">
        <f aca="false">IF(AND(ISNUMBER(J11),ISNUMBER($M11),ISNUMBER($M14)),MAX(J11*$M14/$M11,$M11/(J11*$M14)),"")</f>
        <v>1.36079000017438</v>
      </c>
      <c r="Z11" s="30" t="n">
        <f aca="false">IF(AND(ISNUMBER(K11),ISNUMBER($M11),ISNUMBER($M15)),MAX(K11*$M15/$M11,$M11/(K11*$M15)),"")</f>
        <v>1.36079000017438</v>
      </c>
      <c r="AA11" s="49" t="n">
        <f aca="false">IF(COUNT(R11:Z11)=0,"",MAX(R11:Z11))</f>
        <v>1.36079000017438</v>
      </c>
    </row>
    <row r="12" customFormat="false" ht="27" hidden="false" customHeight="true" outlineLevel="0" collapsed="false">
      <c r="A12" s="19" t="s">
        <v>108</v>
      </c>
      <c r="B12" s="9" t="s">
        <v>109</v>
      </c>
      <c r="C12" s="31" t="n">
        <f aca="false">IF(ISNUMBER(H7),1/H7,"")</f>
        <v>1</v>
      </c>
      <c r="D12" s="31" t="n">
        <f aca="false">IF(ISNUMBER(H8),1/H8,"")</f>
        <v>2</v>
      </c>
      <c r="E12" s="31" t="n">
        <f aca="false">IF(ISNUMBER(H9),1/H9,"")</f>
        <v>2</v>
      </c>
      <c r="F12" s="31" t="n">
        <f aca="false">IF(ISNUMBER(H10),1/H10,"")</f>
        <v>2</v>
      </c>
      <c r="G12" s="31" t="n">
        <f aca="false">IF(ISNUMBER(H11),1/H11,"")</f>
        <v>1</v>
      </c>
      <c r="H12" s="31" t="n">
        <v>1</v>
      </c>
      <c r="I12" s="31" t="n">
        <f aca="false">نسبت!G39</f>
        <v>1</v>
      </c>
      <c r="J12" s="31" t="n">
        <f aca="false">نسبت!G40</f>
        <v>1</v>
      </c>
      <c r="K12" s="31" t="n">
        <f aca="false">نسبت!G41</f>
        <v>1</v>
      </c>
      <c r="L12" s="37" t="n">
        <f aca="false">IF($P$8=$P$7*($P$7-1)/2,GEOMEAN(C12:K12),"")</f>
        <v>1.25992104989487</v>
      </c>
      <c r="M12" s="36" t="n">
        <f aca="false">IF($P$8=$P$7*($P$7-1)/2,L12/SUM($L$7:$L$15),"")</f>
        <v>0.133283721097511</v>
      </c>
      <c r="O12" s="48" t="s">
        <v>50</v>
      </c>
      <c r="P12" s="41" t="n">
        <f aca="false">IF(ISNUMBER(P10),IF(P11=0,0,MAX(0,P10)/P11),"")</f>
        <v>0.00850638851402915</v>
      </c>
      <c r="Q12" s="8" t="s">
        <v>108</v>
      </c>
      <c r="X12" s="30" t="n">
        <f aca="false">IF(AND(ISNUMBER(I12),ISNUMBER($M12),ISNUMBER($M13)),MAX(I12*$M13/$M12,$M12/(I12*$M13)),"")</f>
        <v>1.12983096390975</v>
      </c>
      <c r="Y12" s="30" t="n">
        <f aca="false">IF(AND(ISNUMBER(J12),ISNUMBER($M12),ISNUMBER($M14)),MAX(J12*$M14/$M12,$M12/(J12*$M14)),"")</f>
        <v>1</v>
      </c>
      <c r="Z12" s="30" t="n">
        <f aca="false">IF(AND(ISNUMBER(K12),ISNUMBER($M12),ISNUMBER($M15)),MAX(K12*$M15/$M12,$M12/(K12*$M15)),"")</f>
        <v>1.08005973889231</v>
      </c>
      <c r="AA12" s="49" t="n">
        <f aca="false">IF(COUNT(R12:Z12)=0,"",MAX(R12:Z12))</f>
        <v>1.12983096390975</v>
      </c>
    </row>
    <row r="13" customFormat="false" ht="27" hidden="false" customHeight="true" outlineLevel="0" collapsed="false">
      <c r="A13" s="19" t="s">
        <v>110</v>
      </c>
      <c r="B13" s="9" t="s">
        <v>111</v>
      </c>
      <c r="C13" s="31" t="n">
        <f aca="false">IF(ISNUMBER(I7),1/I7,"")</f>
        <v>1</v>
      </c>
      <c r="D13" s="31" t="n">
        <f aca="false">IF(ISNUMBER(I8),1/I8,"")</f>
        <v>3</v>
      </c>
      <c r="E13" s="31" t="n">
        <f aca="false">IF(ISNUMBER(I9),1/I9,"")</f>
        <v>2</v>
      </c>
      <c r="F13" s="31" t="n">
        <f aca="false">IF(ISNUMBER(I10),1/I10,"")</f>
        <v>2</v>
      </c>
      <c r="G13" s="31" t="n">
        <f aca="false">IF(ISNUMBER(I11),1/I11,"")</f>
        <v>2</v>
      </c>
      <c r="H13" s="31" t="n">
        <f aca="false">IF(ISNUMBER(I12),1/I12,"")</f>
        <v>1</v>
      </c>
      <c r="I13" s="31" t="n">
        <v>1</v>
      </c>
      <c r="J13" s="31" t="n">
        <f aca="false">نسبت!G42</f>
        <v>1</v>
      </c>
      <c r="K13" s="31" t="n">
        <f aca="false">نسبت!G43</f>
        <v>1</v>
      </c>
      <c r="L13" s="37" t="n">
        <f aca="false">IF($P$8=$P$7*($P$7-1)/2,GEOMEAN(C13:K13),"")</f>
        <v>1.42349781425291</v>
      </c>
      <c r="M13" s="36" t="n">
        <f aca="false">IF($P$8=$P$7*($P$7-1)/2,L13/SUM($L$7:$L$15),"")</f>
        <v>0.15058807508108</v>
      </c>
      <c r="O13" s="48" t="s">
        <v>83</v>
      </c>
      <c r="P13" s="10" t="str">
        <f aca="false">IF(NOT($P$8=$P$7*($P$7-1)/2),"ناقص",IF(P12&lt;=$P$3,"سازگار","ناسازگار"))</f>
        <v>سازگار</v>
      </c>
      <c r="Q13" s="8" t="s">
        <v>110</v>
      </c>
      <c r="Y13" s="30" t="n">
        <f aca="false">IF(AND(ISNUMBER(J13),ISNUMBER($M13),ISNUMBER($M14)),MAX(J13*$M14/$M13,$M13/(J13*$M14)),"")</f>
        <v>1.12983096390975</v>
      </c>
      <c r="Z13" s="30" t="n">
        <f aca="false">IF(AND(ISNUMBER(K13),ISNUMBER($M13),ISNUMBER($M15)),MAX(K13*$M15/$M13,$M13/(K13*$M15)),"")</f>
        <v>1.04608191864321</v>
      </c>
      <c r="AA13" s="49" t="n">
        <f aca="false">IF(COUNT(R13:Z13)=0,"",MAX(R13:Z13))</f>
        <v>1.12983096390975</v>
      </c>
    </row>
    <row r="14" customFormat="false" ht="27" hidden="false" customHeight="true" outlineLevel="0" collapsed="false">
      <c r="A14" s="19" t="s">
        <v>112</v>
      </c>
      <c r="B14" s="9" t="s">
        <v>113</v>
      </c>
      <c r="C14" s="31" t="n">
        <f aca="false">IF(ISNUMBER(J7),1/J7,"")</f>
        <v>1</v>
      </c>
      <c r="D14" s="31" t="n">
        <f aca="false">IF(ISNUMBER(J8),1/J8,"")</f>
        <v>2</v>
      </c>
      <c r="E14" s="31" t="n">
        <f aca="false">IF(ISNUMBER(J9),1/J9,"")</f>
        <v>2</v>
      </c>
      <c r="F14" s="31" t="n">
        <f aca="false">IF(ISNUMBER(J10),1/J10,"")</f>
        <v>2</v>
      </c>
      <c r="G14" s="31" t="n">
        <f aca="false">IF(ISNUMBER(J11),1/J11,"")</f>
        <v>1</v>
      </c>
      <c r="H14" s="31" t="n">
        <f aca="false">IF(ISNUMBER(J12),1/J12,"")</f>
        <v>1</v>
      </c>
      <c r="I14" s="31" t="n">
        <f aca="false">IF(ISNUMBER(J13),1/J13,"")</f>
        <v>1</v>
      </c>
      <c r="J14" s="31" t="n">
        <v>1</v>
      </c>
      <c r="K14" s="31" t="n">
        <f aca="false">نسبت!G44</f>
        <v>1</v>
      </c>
      <c r="L14" s="37" t="n">
        <f aca="false">IF($P$8=$P$7*($P$7-1)/2,GEOMEAN(C14:K14),"")</f>
        <v>1.25992104989487</v>
      </c>
      <c r="M14" s="36" t="n">
        <f aca="false">IF($P$8=$P$7*($P$7-1)/2,L14/SUM($L$7:$L$15),"")</f>
        <v>0.133283721097511</v>
      </c>
      <c r="O14" s="48" t="s">
        <v>233</v>
      </c>
      <c r="P14" s="30" t="n">
        <f aca="false">IF(COUNT(AA7:AA15)=0,"",MAX(AA7:AA15))</f>
        <v>1.36079000017438</v>
      </c>
      <c r="Q14" s="8" t="s">
        <v>112</v>
      </c>
      <c r="Z14" s="30" t="n">
        <f aca="false">IF(AND(ISNUMBER(K14),ISNUMBER($M14),ISNUMBER($M15)),MAX(K14*$M15/$M14,$M14/(K14*$M15)),"")</f>
        <v>1.08005973889231</v>
      </c>
      <c r="AA14" s="49" t="n">
        <f aca="false">IF(COUNT(R14:Z14)=0,"",MAX(R14:Z14))</f>
        <v>1.08005973889231</v>
      </c>
    </row>
    <row r="15" customFormat="false" ht="27" hidden="false" customHeight="true" outlineLevel="0" collapsed="false">
      <c r="A15" s="19" t="s">
        <v>114</v>
      </c>
      <c r="B15" s="9" t="s">
        <v>115</v>
      </c>
      <c r="C15" s="31" t="n">
        <f aca="false">IF(ISNUMBER(K7),1/K7,"")</f>
        <v>1</v>
      </c>
      <c r="D15" s="31" t="n">
        <f aca="false">IF(ISNUMBER(K8),1/K8,"")</f>
        <v>2</v>
      </c>
      <c r="E15" s="31" t="n">
        <f aca="false">IF(ISNUMBER(K9),1/K9,"")</f>
        <v>2</v>
      </c>
      <c r="F15" s="31" t="n">
        <f aca="false">IF(ISNUMBER(K10),1/K10,"")</f>
        <v>2</v>
      </c>
      <c r="G15" s="31" t="n">
        <f aca="false">IF(ISNUMBER(K11),1/K11,"")</f>
        <v>2</v>
      </c>
      <c r="H15" s="31" t="n">
        <f aca="false">IF(ISNUMBER(K12),1/K12,"")</f>
        <v>1</v>
      </c>
      <c r="I15" s="31" t="n">
        <f aca="false">IF(ISNUMBER(K13),1/K13,"")</f>
        <v>1</v>
      </c>
      <c r="J15" s="31" t="n">
        <f aca="false">IF(ISNUMBER(K14),1/K14,"")</f>
        <v>1</v>
      </c>
      <c r="K15" s="31" t="n">
        <v>1</v>
      </c>
      <c r="L15" s="37" t="n">
        <f aca="false">IF($P$8=$P$7*($P$7-1)/2,GEOMEAN(C15:K15),"")</f>
        <v>1.36079000017438</v>
      </c>
      <c r="M15" s="36" t="n">
        <f aca="false">IF($P$8=$P$7*($P$7-1)/2,L15/SUM($L$7:$L$15),"")</f>
        <v>0.143954381007173</v>
      </c>
      <c r="O15" s="48" t="s">
        <v>234</v>
      </c>
      <c r="P15" s="19" t="str">
        <f aca="false">IF(ISNUMBER(P14),INDEX(A7:A15,MATCH(P14,AA7:AA15,0))&amp;" و "&amp;INDEX(C6:K6,MATCH(P14,INDEX(R7:Z15,MATCH(P14,AA7:AA15,0),0),0)),"")</f>
        <v>م۱ و م۵</v>
      </c>
      <c r="Q15" s="8" t="s">
        <v>114</v>
      </c>
    </row>
    <row r="16" customFormat="false" ht="15" hidden="false" customHeight="false" outlineLevel="0" collapsed="false">
      <c r="A16" s="50"/>
      <c r="B16" s="51" t="s">
        <v>235</v>
      </c>
      <c r="C16" s="52" t="n">
        <f aca="false">IF($P$8=$P$7*($P$7-1)/2,SUM(C7:C15),"")</f>
        <v>7.5</v>
      </c>
      <c r="D16" s="52" t="n">
        <f aca="false">IF($P$8=$P$7*($P$7-1)/2,SUM(D7:D15),"")</f>
        <v>16</v>
      </c>
      <c r="E16" s="52" t="n">
        <f aca="false">IF($P$8=$P$7*($P$7-1)/2,SUM(E7:E15),"")</f>
        <v>14</v>
      </c>
      <c r="F16" s="52" t="n">
        <f aca="false">IF($P$8=$P$7*($P$7-1)/2,SUM(F7:F15),"")</f>
        <v>14</v>
      </c>
      <c r="G16" s="52" t="n">
        <f aca="false">IF($P$8=$P$7*($P$7-1)/2,SUM(G7:G15),"")</f>
        <v>10.5</v>
      </c>
      <c r="H16" s="52" t="n">
        <f aca="false">IF($P$8=$P$7*($P$7-1)/2,SUM(H7:H15),"")</f>
        <v>7.5</v>
      </c>
      <c r="I16" s="52" t="n">
        <f aca="false">IF($P$8=$P$7*($P$7-1)/2,SUM(I7:I15),"")</f>
        <v>6.83333333333333</v>
      </c>
      <c r="J16" s="52" t="n">
        <f aca="false">IF($P$8=$P$7*($P$7-1)/2,SUM(J7:J15),"")</f>
        <v>7.5</v>
      </c>
      <c r="K16" s="52" t="n">
        <f aca="false">IF($P$8=$P$7*($P$7-1)/2,SUM(K7:K15),"")</f>
        <v>7</v>
      </c>
      <c r="M16" s="53" t="n">
        <f aca="false">IF($P$8=$P$7*($P$7-1)/2,SUM(M7:M15),"")</f>
        <v>1</v>
      </c>
    </row>
    <row r="17" customFormat="false" ht="15" hidden="false" customHeight="false" outlineLevel="0" collapsed="false">
      <c r="A17" s="50"/>
      <c r="B17" s="51" t="s">
        <v>236</v>
      </c>
      <c r="C17" s="53" t="n">
        <f aca="false">M7</f>
        <v>0.133283721097511</v>
      </c>
      <c r="D17" s="53" t="n">
        <f aca="false">M8</f>
        <v>0.0637061585341148</v>
      </c>
      <c r="E17" s="53" t="n">
        <f aca="false">M9</f>
        <v>0.0719771905035864</v>
      </c>
      <c r="F17" s="53" t="n">
        <f aca="false">M10</f>
        <v>0.0719771905035864</v>
      </c>
      <c r="G17" s="53" t="n">
        <f aca="false">M11</f>
        <v>0.0979458410779265</v>
      </c>
      <c r="H17" s="53" t="n">
        <f aca="false">M12</f>
        <v>0.133283721097511</v>
      </c>
      <c r="I17" s="53" t="n">
        <f aca="false">M13</f>
        <v>0.15058807508108</v>
      </c>
      <c r="J17" s="53" t="n">
        <f aca="false">M14</f>
        <v>0.133283721097511</v>
      </c>
      <c r="K17" s="53" t="n">
        <f aca="false">M15</f>
        <v>0.143954381007173</v>
      </c>
    </row>
    <row r="19" customFormat="false" ht="15" hidden="false" customHeight="false" outlineLevel="0" collapsed="false">
      <c r="A19" s="45" t="s">
        <v>237</v>
      </c>
      <c r="B19" s="45"/>
      <c r="C19" s="45"/>
      <c r="D19" s="45"/>
      <c r="E19" s="45"/>
      <c r="F19" s="45"/>
      <c r="G19" s="45"/>
      <c r="H19" s="45"/>
      <c r="I19" s="45"/>
      <c r="J19" s="45"/>
      <c r="K19" s="45"/>
      <c r="L19" s="45"/>
      <c r="M19" s="45"/>
      <c r="Q19" s="46" t="s">
        <v>224</v>
      </c>
      <c r="R19" s="46"/>
      <c r="S19" s="46"/>
      <c r="T19" s="46"/>
      <c r="U19" s="46"/>
      <c r="V19" s="46"/>
      <c r="W19" s="46"/>
      <c r="X19" s="46"/>
      <c r="Y19" s="46"/>
      <c r="Z19" s="46"/>
      <c r="AA19" s="46"/>
    </row>
    <row r="20" customFormat="false" ht="27.75" hidden="false" customHeight="true" outlineLevel="0" collapsed="false">
      <c r="A20" s="8" t="s">
        <v>199</v>
      </c>
      <c r="B20" s="8" t="s">
        <v>225</v>
      </c>
      <c r="C20" s="8" t="s">
        <v>117</v>
      </c>
      <c r="D20" s="8" t="s">
        <v>119</v>
      </c>
      <c r="E20" s="8" t="s">
        <v>121</v>
      </c>
      <c r="L20" s="7" t="s">
        <v>226</v>
      </c>
      <c r="M20" s="8" t="s">
        <v>227</v>
      </c>
      <c r="Q20" s="8" t="s">
        <v>199</v>
      </c>
      <c r="R20" s="8" t="s">
        <v>117</v>
      </c>
      <c r="S20" s="8" t="s">
        <v>119</v>
      </c>
      <c r="T20" s="8" t="s">
        <v>121</v>
      </c>
      <c r="AA20" s="47" t="s">
        <v>228</v>
      </c>
    </row>
    <row r="21" customFormat="false" ht="27" hidden="false" customHeight="true" outlineLevel="0" collapsed="false">
      <c r="A21" s="19" t="s">
        <v>117</v>
      </c>
      <c r="B21" s="9" t="s">
        <v>118</v>
      </c>
      <c r="C21" s="31" t="n">
        <v>1</v>
      </c>
      <c r="D21" s="31" t="n">
        <f aca="false">نسبت!G45</f>
        <v>2</v>
      </c>
      <c r="E21" s="31" t="n">
        <f aca="false">نسبت!G46</f>
        <v>2</v>
      </c>
      <c r="L21" s="37" t="n">
        <f aca="false">IF($P$22=$P$21*($P$21-1)/2,GEOMEAN(C21:E21),"")</f>
        <v>1.5874010519682</v>
      </c>
      <c r="M21" s="36" t="n">
        <f aca="false">IF($P$22=$P$21*($P$21-1)/2,L21/SUM($L$21:$L$23),"")</f>
        <v>0.5</v>
      </c>
      <c r="O21" s="48" t="s">
        <v>229</v>
      </c>
      <c r="P21" s="11" t="n">
        <f aca="false">ROWS(A21:A23)</f>
        <v>3</v>
      </c>
      <c r="Q21" s="8" t="s">
        <v>117</v>
      </c>
      <c r="S21" s="30" t="n">
        <f aca="false">IF(AND(ISNUMBER(D21),ISNUMBER($M21),ISNUMBER($M22)),MAX(D21*$M22/$M21,$M21/(D21*$M22)),"")</f>
        <v>1</v>
      </c>
      <c r="T21" s="30" t="n">
        <f aca="false">IF(AND(ISNUMBER(E21),ISNUMBER($M21),ISNUMBER($M23)),MAX(E21*$M23/$M21,$M21/(E21*$M23)),"")</f>
        <v>1</v>
      </c>
      <c r="AA21" s="49" t="n">
        <f aca="false">IF(COUNT(R21:T21)=0,"",MAX(R21:T21))</f>
        <v>1</v>
      </c>
    </row>
    <row r="22" customFormat="false" ht="27" hidden="false" customHeight="true" outlineLevel="0" collapsed="false">
      <c r="A22" s="19" t="s">
        <v>119</v>
      </c>
      <c r="B22" s="9" t="s">
        <v>120</v>
      </c>
      <c r="C22" s="31" t="n">
        <f aca="false">IF(ISNUMBER(D21),1/D21,"")</f>
        <v>0.5</v>
      </c>
      <c r="D22" s="31" t="n">
        <v>1</v>
      </c>
      <c r="E22" s="31" t="n">
        <f aca="false">نسبت!G47</f>
        <v>1</v>
      </c>
      <c r="L22" s="37" t="n">
        <f aca="false">IF($P$22=$P$21*($P$21-1)/2,GEOMEAN(C22:E22),"")</f>
        <v>0.7937005259841</v>
      </c>
      <c r="M22" s="36" t="n">
        <f aca="false">IF($P$22=$P$21*($P$21-1)/2,L22/SUM($L$21:$L$23),"")</f>
        <v>0.25</v>
      </c>
      <c r="O22" s="48" t="s">
        <v>230</v>
      </c>
      <c r="P22" s="11" t="n">
        <f aca="false">(COUNT(C21:E23)-$P$21)/2</f>
        <v>3</v>
      </c>
      <c r="Q22" s="8" t="s">
        <v>119</v>
      </c>
      <c r="T22" s="30" t="n">
        <f aca="false">IF(AND(ISNUMBER(E22),ISNUMBER($M22),ISNUMBER($M23)),MAX(E22*$M23/$M22,$M22/(E22*$M23)),"")</f>
        <v>1</v>
      </c>
      <c r="AA22" s="49" t="n">
        <f aca="false">IF(COUNT(R22:T22)=0,"",MAX(R22:T22))</f>
        <v>1</v>
      </c>
    </row>
    <row r="23" customFormat="false" ht="27" hidden="false" customHeight="true" outlineLevel="0" collapsed="false">
      <c r="A23" s="19" t="s">
        <v>121</v>
      </c>
      <c r="B23" s="9" t="s">
        <v>122</v>
      </c>
      <c r="C23" s="31" t="n">
        <f aca="false">IF(ISNUMBER(E21),1/E21,"")</f>
        <v>0.5</v>
      </c>
      <c r="D23" s="31" t="n">
        <f aca="false">IF(ISNUMBER(E22),1/E22,"")</f>
        <v>1</v>
      </c>
      <c r="E23" s="31" t="n">
        <v>1</v>
      </c>
      <c r="L23" s="37" t="n">
        <f aca="false">IF($P$22=$P$21*($P$21-1)/2,GEOMEAN(C23:E23),"")</f>
        <v>0.7937005259841</v>
      </c>
      <c r="M23" s="36" t="n">
        <f aca="false">IF($P$22=$P$21*($P$21-1)/2,L23/SUM($L$21:$L$23),"")</f>
        <v>0.25</v>
      </c>
      <c r="O23" s="48" t="s">
        <v>231</v>
      </c>
      <c r="P23" s="37" t="n">
        <f aca="false">IF($P$22=$P$21*($P$21-1)/2,SUMPRODUCT(C24:E24,C25:E25),"")</f>
        <v>3</v>
      </c>
      <c r="Q23" s="8" t="s">
        <v>121</v>
      </c>
    </row>
    <row r="24" customFormat="false" ht="15" hidden="false" customHeight="false" outlineLevel="0" collapsed="false">
      <c r="A24" s="50"/>
      <c r="B24" s="51" t="s">
        <v>235</v>
      </c>
      <c r="C24" s="52" t="n">
        <f aca="false">IF($P$22=$P$21*($P$21-1)/2,SUM(C21:C23),"")</f>
        <v>2</v>
      </c>
      <c r="D24" s="52" t="n">
        <f aca="false">IF($P$22=$P$21*($P$21-1)/2,SUM(D21:D23),"")</f>
        <v>4</v>
      </c>
      <c r="E24" s="52" t="n">
        <f aca="false">IF($P$22=$P$21*($P$21-1)/2,SUM(E21:E23),"")</f>
        <v>4</v>
      </c>
      <c r="M24" s="53" t="n">
        <f aca="false">IF($P$22=$P$21*($P$21-1)/2,SUM(M21:M23),"")</f>
        <v>1</v>
      </c>
      <c r="O24" s="48" t="s">
        <v>48</v>
      </c>
      <c r="P24" s="37" t="n">
        <f aca="false">IF(ISNUMBER(P23),(P23-$P$21)/($P$21-1),"")</f>
        <v>0</v>
      </c>
    </row>
    <row r="25" customFormat="false" ht="15" hidden="false" customHeight="false" outlineLevel="0" collapsed="false">
      <c r="A25" s="50"/>
      <c r="B25" s="51" t="s">
        <v>236</v>
      </c>
      <c r="C25" s="53" t="n">
        <f aca="false">M21</f>
        <v>0.5</v>
      </c>
      <c r="D25" s="53" t="n">
        <f aca="false">M22</f>
        <v>0.25</v>
      </c>
      <c r="E25" s="53" t="n">
        <f aca="false">M23</f>
        <v>0.25</v>
      </c>
      <c r="O25" s="48" t="s">
        <v>232</v>
      </c>
      <c r="P25" s="30" t="n">
        <f aca="false">INDEX(راهنما!$C$29:$C$38,MATCH($P$21,راهنما!$B$29:$B$38,0))</f>
        <v>0.58</v>
      </c>
    </row>
    <row r="26" customFormat="false" ht="15" hidden="false" customHeight="false" outlineLevel="0" collapsed="false">
      <c r="O26" s="48" t="s">
        <v>50</v>
      </c>
      <c r="P26" s="41" t="n">
        <f aca="false">IF(ISNUMBER(P24),IF(P25=0,0,MAX(0,P24)/P25),"")</f>
        <v>0</v>
      </c>
    </row>
    <row r="27" customFormat="false" ht="15" hidden="false" customHeight="false" outlineLevel="0" collapsed="false">
      <c r="O27" s="48" t="s">
        <v>83</v>
      </c>
      <c r="P27" s="10" t="str">
        <f aca="false">IF(NOT($P$22=$P$21*($P$21-1)/2),"ناقص",IF(P26&lt;=$P$3,"سازگار","ناسازگار"))</f>
        <v>سازگار</v>
      </c>
    </row>
    <row r="28" customFormat="false" ht="15" hidden="false" customHeight="false" outlineLevel="0" collapsed="false">
      <c r="O28" s="48" t="s">
        <v>233</v>
      </c>
      <c r="P28" s="30" t="n">
        <f aca="false">IF(COUNT(AA21:AA23)=0,"",MAX(AA21:AA23))</f>
        <v>1</v>
      </c>
    </row>
    <row r="29" customFormat="false" ht="15" hidden="false" customHeight="false" outlineLevel="0" collapsed="false">
      <c r="O29" s="48" t="s">
        <v>234</v>
      </c>
      <c r="P29" s="19" t="str">
        <f aca="false">IF(ISNUMBER(P28),INDEX(A21:A23,MATCH(P28,AA21:AA23,0))&amp;" و "&amp;INDEX(C20:E20,MATCH(P28,INDEX(R21:T23,MATCH(P28,AA21:AA23,0),0),0)),"")</f>
        <v>گ۱ و گ۲</v>
      </c>
    </row>
    <row r="31" customFormat="false" ht="15" hidden="false" customHeight="false" outlineLevel="0" collapsed="false">
      <c r="A31" s="45" t="s">
        <v>238</v>
      </c>
      <c r="B31" s="45"/>
      <c r="C31" s="45"/>
      <c r="D31" s="45"/>
      <c r="E31" s="45"/>
      <c r="F31" s="45"/>
      <c r="G31" s="45"/>
      <c r="H31" s="45"/>
      <c r="I31" s="45"/>
      <c r="J31" s="45"/>
      <c r="K31" s="45"/>
      <c r="L31" s="45"/>
      <c r="M31" s="45"/>
      <c r="Q31" s="46" t="s">
        <v>224</v>
      </c>
      <c r="R31" s="46"/>
      <c r="S31" s="46"/>
      <c r="T31" s="46"/>
      <c r="U31" s="46"/>
      <c r="V31" s="46"/>
      <c r="W31" s="46"/>
      <c r="X31" s="46"/>
      <c r="Y31" s="46"/>
      <c r="Z31" s="46"/>
      <c r="AA31" s="46"/>
    </row>
    <row r="32" customFormat="false" ht="27.75" hidden="false" customHeight="true" outlineLevel="0" collapsed="false">
      <c r="A32" s="8" t="s">
        <v>199</v>
      </c>
      <c r="B32" s="8" t="s">
        <v>225</v>
      </c>
      <c r="C32" s="8" t="s">
        <v>123</v>
      </c>
      <c r="D32" s="8" t="s">
        <v>125</v>
      </c>
      <c r="E32" s="8" t="s">
        <v>127</v>
      </c>
      <c r="F32" s="8" t="s">
        <v>129</v>
      </c>
      <c r="L32" s="7" t="s">
        <v>226</v>
      </c>
      <c r="M32" s="8" t="s">
        <v>227</v>
      </c>
      <c r="Q32" s="8" t="s">
        <v>199</v>
      </c>
      <c r="R32" s="8" t="s">
        <v>123</v>
      </c>
      <c r="S32" s="8" t="s">
        <v>125</v>
      </c>
      <c r="T32" s="8" t="s">
        <v>127</v>
      </c>
      <c r="U32" s="8" t="s">
        <v>129</v>
      </c>
      <c r="AA32" s="47" t="s">
        <v>228</v>
      </c>
    </row>
    <row r="33" customFormat="false" ht="27" hidden="false" customHeight="true" outlineLevel="0" collapsed="false">
      <c r="A33" s="19" t="s">
        <v>123</v>
      </c>
      <c r="B33" s="9" t="s">
        <v>124</v>
      </c>
      <c r="C33" s="31" t="n">
        <v>1</v>
      </c>
      <c r="D33" s="31" t="n">
        <f aca="false">نسبت!G48</f>
        <v>1</v>
      </c>
      <c r="E33" s="31" t="n">
        <f aca="false">نسبت!G49</f>
        <v>2</v>
      </c>
      <c r="F33" s="31" t="n">
        <f aca="false">نسبت!G50</f>
        <v>2</v>
      </c>
      <c r="L33" s="37" t="n">
        <f aca="false">IF($P$34=$P$33*($P$33-1)/2,GEOMEAN(C33:F33),"")</f>
        <v>1.4142135623731</v>
      </c>
      <c r="M33" s="36" t="n">
        <f aca="false">IF($P$34=$P$33*($P$33-1)/2,L33/SUM($L$33:$L$36),"")</f>
        <v>0.333333333333333</v>
      </c>
      <c r="O33" s="48" t="s">
        <v>229</v>
      </c>
      <c r="P33" s="11" t="n">
        <f aca="false">ROWS(A33:A36)</f>
        <v>4</v>
      </c>
      <c r="Q33" s="8" t="s">
        <v>123</v>
      </c>
      <c r="S33" s="30" t="n">
        <f aca="false">IF(AND(ISNUMBER(D33),ISNUMBER($M33),ISNUMBER($M34)),MAX(D33*$M34/$M33,$M33/(D33*$M34)),"")</f>
        <v>1</v>
      </c>
      <c r="T33" s="30" t="n">
        <f aca="false">IF(AND(ISNUMBER(E33),ISNUMBER($M33),ISNUMBER($M35)),MAX(E33*$M35/$M33,$M33/(E33*$M35)),"")</f>
        <v>1</v>
      </c>
      <c r="U33" s="30" t="n">
        <f aca="false">IF(AND(ISNUMBER(F33),ISNUMBER($M33),ISNUMBER($M36)),MAX(F33*$M36/$M33,$M33/(F33*$M36)),"")</f>
        <v>1</v>
      </c>
      <c r="AA33" s="49" t="n">
        <f aca="false">IF(COUNT(R33:U33)=0,"",MAX(R33:U33))</f>
        <v>1</v>
      </c>
    </row>
    <row r="34" customFormat="false" ht="27" hidden="false" customHeight="true" outlineLevel="0" collapsed="false">
      <c r="A34" s="19" t="s">
        <v>125</v>
      </c>
      <c r="B34" s="9" t="s">
        <v>126</v>
      </c>
      <c r="C34" s="31" t="n">
        <f aca="false">IF(ISNUMBER(D33),1/D33,"")</f>
        <v>1</v>
      </c>
      <c r="D34" s="31" t="n">
        <v>1</v>
      </c>
      <c r="E34" s="31" t="n">
        <f aca="false">نسبت!G51</f>
        <v>2</v>
      </c>
      <c r="F34" s="31" t="n">
        <f aca="false">نسبت!G52</f>
        <v>2</v>
      </c>
      <c r="L34" s="37" t="n">
        <f aca="false">IF($P$34=$P$33*($P$33-1)/2,GEOMEAN(C34:F34),"")</f>
        <v>1.4142135623731</v>
      </c>
      <c r="M34" s="36" t="n">
        <f aca="false">IF($P$34=$P$33*($P$33-1)/2,L34/SUM($L$33:$L$36),"")</f>
        <v>0.333333333333333</v>
      </c>
      <c r="O34" s="48" t="s">
        <v>230</v>
      </c>
      <c r="P34" s="11" t="n">
        <f aca="false">(COUNT(C33:F36)-$P$33)/2</f>
        <v>6</v>
      </c>
      <c r="Q34" s="8" t="s">
        <v>125</v>
      </c>
      <c r="T34" s="30" t="n">
        <f aca="false">IF(AND(ISNUMBER(E34),ISNUMBER($M34),ISNUMBER($M35)),MAX(E34*$M35/$M34,$M34/(E34*$M35)),"")</f>
        <v>1</v>
      </c>
      <c r="U34" s="30" t="n">
        <f aca="false">IF(AND(ISNUMBER(F34),ISNUMBER($M34),ISNUMBER($M36)),MAX(F34*$M36/$M34,$M34/(F34*$M36)),"")</f>
        <v>1</v>
      </c>
      <c r="AA34" s="49" t="n">
        <f aca="false">IF(COUNT(R34:U34)=0,"",MAX(R34:U34))</f>
        <v>1</v>
      </c>
    </row>
    <row r="35" customFormat="false" ht="27" hidden="false" customHeight="true" outlineLevel="0" collapsed="false">
      <c r="A35" s="19" t="s">
        <v>127</v>
      </c>
      <c r="B35" s="9" t="s">
        <v>128</v>
      </c>
      <c r="C35" s="31" t="n">
        <f aca="false">IF(ISNUMBER(E33),1/E33,"")</f>
        <v>0.5</v>
      </c>
      <c r="D35" s="31" t="n">
        <f aca="false">IF(ISNUMBER(E34),1/E34,"")</f>
        <v>0.5</v>
      </c>
      <c r="E35" s="31" t="n">
        <v>1</v>
      </c>
      <c r="F35" s="31" t="n">
        <f aca="false">نسبت!G53</f>
        <v>1</v>
      </c>
      <c r="L35" s="37" t="n">
        <f aca="false">IF($P$34=$P$33*($P$33-1)/2,GEOMEAN(C35:F35),"")</f>
        <v>0.707106781186548</v>
      </c>
      <c r="M35" s="36" t="n">
        <f aca="false">IF($P$34=$P$33*($P$33-1)/2,L35/SUM($L$33:$L$36),"")</f>
        <v>0.166666666666667</v>
      </c>
      <c r="O35" s="48" t="s">
        <v>231</v>
      </c>
      <c r="P35" s="37" t="n">
        <f aca="false">IF($P$34=$P$33*($P$33-1)/2,SUMPRODUCT(C37:F37,C38:F38),"")</f>
        <v>4</v>
      </c>
      <c r="Q35" s="8" t="s">
        <v>127</v>
      </c>
      <c r="U35" s="30" t="n">
        <f aca="false">IF(AND(ISNUMBER(F35),ISNUMBER($M35),ISNUMBER($M36)),MAX(F35*$M36/$M35,$M35/(F35*$M36)),"")</f>
        <v>1</v>
      </c>
      <c r="AA35" s="49" t="n">
        <f aca="false">IF(COUNT(R35:U35)=0,"",MAX(R35:U35))</f>
        <v>1</v>
      </c>
    </row>
    <row r="36" customFormat="false" ht="27" hidden="false" customHeight="true" outlineLevel="0" collapsed="false">
      <c r="A36" s="19" t="s">
        <v>129</v>
      </c>
      <c r="B36" s="9" t="s">
        <v>130</v>
      </c>
      <c r="C36" s="31" t="n">
        <f aca="false">IF(ISNUMBER(F33),1/F33,"")</f>
        <v>0.5</v>
      </c>
      <c r="D36" s="31" t="n">
        <f aca="false">IF(ISNUMBER(F34),1/F34,"")</f>
        <v>0.5</v>
      </c>
      <c r="E36" s="31" t="n">
        <f aca="false">IF(ISNUMBER(F35),1/F35,"")</f>
        <v>1</v>
      </c>
      <c r="F36" s="31" t="n">
        <v>1</v>
      </c>
      <c r="L36" s="37" t="n">
        <f aca="false">IF($P$34=$P$33*($P$33-1)/2,GEOMEAN(C36:F36),"")</f>
        <v>0.707106781186548</v>
      </c>
      <c r="M36" s="36" t="n">
        <f aca="false">IF($P$34=$P$33*($P$33-1)/2,L36/SUM($L$33:$L$36),"")</f>
        <v>0.166666666666667</v>
      </c>
      <c r="O36" s="48" t="s">
        <v>48</v>
      </c>
      <c r="P36" s="37" t="n">
        <f aca="false">IF(ISNUMBER(P35),(P35-$P$33)/($P$33-1),"")</f>
        <v>0</v>
      </c>
      <c r="Q36" s="8" t="s">
        <v>129</v>
      </c>
    </row>
    <row r="37" customFormat="false" ht="15" hidden="false" customHeight="false" outlineLevel="0" collapsed="false">
      <c r="A37" s="50"/>
      <c r="B37" s="51" t="s">
        <v>235</v>
      </c>
      <c r="C37" s="52" t="n">
        <f aca="false">IF($P$34=$P$33*($P$33-1)/2,SUM(C33:C36),"")</f>
        <v>3</v>
      </c>
      <c r="D37" s="52" t="n">
        <f aca="false">IF($P$34=$P$33*($P$33-1)/2,SUM(D33:D36),"")</f>
        <v>3</v>
      </c>
      <c r="E37" s="52" t="n">
        <f aca="false">IF($P$34=$P$33*($P$33-1)/2,SUM(E33:E36),"")</f>
        <v>6</v>
      </c>
      <c r="F37" s="52" t="n">
        <f aca="false">IF($P$34=$P$33*($P$33-1)/2,SUM(F33:F36),"")</f>
        <v>6</v>
      </c>
      <c r="M37" s="53" t="n">
        <f aca="false">IF($P$34=$P$33*($P$33-1)/2,SUM(M33:M36),"")</f>
        <v>1</v>
      </c>
      <c r="O37" s="48" t="s">
        <v>232</v>
      </c>
      <c r="P37" s="30" t="n">
        <f aca="false">INDEX(راهنما!$C$29:$C$38,MATCH($P$33,راهنما!$B$29:$B$38,0))</f>
        <v>0.9</v>
      </c>
    </row>
    <row r="38" customFormat="false" ht="15" hidden="false" customHeight="false" outlineLevel="0" collapsed="false">
      <c r="A38" s="50"/>
      <c r="B38" s="51" t="s">
        <v>236</v>
      </c>
      <c r="C38" s="53" t="n">
        <f aca="false">M33</f>
        <v>0.333333333333333</v>
      </c>
      <c r="D38" s="53" t="n">
        <f aca="false">M34</f>
        <v>0.333333333333333</v>
      </c>
      <c r="E38" s="53" t="n">
        <f aca="false">M35</f>
        <v>0.166666666666667</v>
      </c>
      <c r="F38" s="53" t="n">
        <f aca="false">M36</f>
        <v>0.166666666666667</v>
      </c>
      <c r="O38" s="48" t="s">
        <v>50</v>
      </c>
      <c r="P38" s="41" t="n">
        <f aca="false">IF(ISNUMBER(P36),IF(P37=0,0,MAX(0,P36)/P37),"")</f>
        <v>0</v>
      </c>
    </row>
    <row r="39" customFormat="false" ht="15" hidden="false" customHeight="false" outlineLevel="0" collapsed="false">
      <c r="O39" s="48" t="s">
        <v>83</v>
      </c>
      <c r="P39" s="10" t="str">
        <f aca="false">IF(NOT($P$34=$P$33*($P$33-1)/2),"ناقص",IF(P38&lt;=$P$3,"سازگار","ناسازگار"))</f>
        <v>سازگار</v>
      </c>
    </row>
    <row r="40" customFormat="false" ht="15" hidden="false" customHeight="false" outlineLevel="0" collapsed="false">
      <c r="O40" s="48" t="s">
        <v>233</v>
      </c>
      <c r="P40" s="30" t="n">
        <f aca="false">IF(COUNT(AA33:AA36)=0,"",MAX(AA33:AA36))</f>
        <v>1</v>
      </c>
    </row>
    <row r="41" customFormat="false" ht="15" hidden="false" customHeight="false" outlineLevel="0" collapsed="false">
      <c r="O41" s="48" t="s">
        <v>234</v>
      </c>
      <c r="P41" s="19" t="str">
        <f aca="false">IF(ISNUMBER(P40),INDEX(A33:A36,MATCH(P40,AA33:AA36,0))&amp;" و "&amp;INDEX(C32:F32,MATCH(P40,INDEX(R33:U36,MATCH(P40,AA33:AA36,0),0),0)),"")</f>
        <v>گ۴ و گ۵</v>
      </c>
    </row>
    <row r="43" customFormat="false" ht="15" hidden="false" customHeight="false" outlineLevel="0" collapsed="false">
      <c r="A43" s="45" t="s">
        <v>239</v>
      </c>
      <c r="B43" s="45"/>
      <c r="C43" s="45"/>
      <c r="D43" s="45"/>
      <c r="E43" s="45"/>
      <c r="F43" s="45"/>
      <c r="G43" s="45"/>
      <c r="H43" s="45"/>
      <c r="I43" s="45"/>
      <c r="J43" s="45"/>
      <c r="K43" s="45"/>
      <c r="L43" s="45"/>
      <c r="M43" s="45"/>
      <c r="Q43" s="46" t="s">
        <v>224</v>
      </c>
      <c r="R43" s="46"/>
      <c r="S43" s="46"/>
      <c r="T43" s="46"/>
      <c r="U43" s="46"/>
      <c r="V43" s="46"/>
      <c r="W43" s="46"/>
      <c r="X43" s="46"/>
      <c r="Y43" s="46"/>
      <c r="Z43" s="46"/>
      <c r="AA43" s="46"/>
    </row>
    <row r="44" customFormat="false" ht="27.75" hidden="false" customHeight="true" outlineLevel="0" collapsed="false">
      <c r="A44" s="8" t="s">
        <v>199</v>
      </c>
      <c r="B44" s="8" t="s">
        <v>225</v>
      </c>
      <c r="C44" s="8" t="s">
        <v>131</v>
      </c>
      <c r="D44" s="8" t="s">
        <v>133</v>
      </c>
      <c r="E44" s="8" t="s">
        <v>135</v>
      </c>
      <c r="L44" s="7" t="s">
        <v>226</v>
      </c>
      <c r="M44" s="8" t="s">
        <v>227</v>
      </c>
      <c r="Q44" s="8" t="s">
        <v>199</v>
      </c>
      <c r="R44" s="8" t="s">
        <v>131</v>
      </c>
      <c r="S44" s="8" t="s">
        <v>133</v>
      </c>
      <c r="T44" s="8" t="s">
        <v>135</v>
      </c>
      <c r="AA44" s="47" t="s">
        <v>228</v>
      </c>
    </row>
    <row r="45" customFormat="false" ht="27" hidden="false" customHeight="true" outlineLevel="0" collapsed="false">
      <c r="A45" s="19" t="s">
        <v>131</v>
      </c>
      <c r="B45" s="9" t="s">
        <v>132</v>
      </c>
      <c r="C45" s="31" t="n">
        <v>1</v>
      </c>
      <c r="D45" s="31" t="n">
        <f aca="false">نسبت!G54</f>
        <v>1</v>
      </c>
      <c r="E45" s="31" t="n">
        <f aca="false">نسبت!G55</f>
        <v>2</v>
      </c>
      <c r="L45" s="37" t="n">
        <f aca="false">IF($P$46=$P$45*($P$45-1)/2,GEOMEAN(C45:E45),"")</f>
        <v>1.25992104989487</v>
      </c>
      <c r="M45" s="36" t="n">
        <f aca="false">IF($P$46=$P$45*($P$45-1)/2,L45/SUM($L$45:$L$47),"")</f>
        <v>0.4</v>
      </c>
      <c r="O45" s="48" t="s">
        <v>229</v>
      </c>
      <c r="P45" s="11" t="n">
        <f aca="false">ROWS(A45:A47)</f>
        <v>3</v>
      </c>
      <c r="Q45" s="8" t="s">
        <v>131</v>
      </c>
      <c r="S45" s="30" t="n">
        <f aca="false">IF(AND(ISNUMBER(D45),ISNUMBER($M45),ISNUMBER($M46)),MAX(D45*$M46/$M45,$M45/(D45*$M46)),"")</f>
        <v>1</v>
      </c>
      <c r="T45" s="30" t="n">
        <f aca="false">IF(AND(ISNUMBER(E45),ISNUMBER($M45),ISNUMBER($M47)),MAX(E45*$M47/$M45,$M45/(E45*$M47)),"")</f>
        <v>1</v>
      </c>
      <c r="AA45" s="49" t="n">
        <f aca="false">IF(COUNT(R45:T45)=0,"",MAX(R45:T45))</f>
        <v>1</v>
      </c>
    </row>
    <row r="46" customFormat="false" ht="27" hidden="false" customHeight="true" outlineLevel="0" collapsed="false">
      <c r="A46" s="19" t="s">
        <v>133</v>
      </c>
      <c r="B46" s="9" t="s">
        <v>134</v>
      </c>
      <c r="C46" s="31" t="n">
        <f aca="false">IF(ISNUMBER(D45),1/D45,"")</f>
        <v>1</v>
      </c>
      <c r="D46" s="31" t="n">
        <v>1</v>
      </c>
      <c r="E46" s="31" t="n">
        <f aca="false">نسبت!G56</f>
        <v>2</v>
      </c>
      <c r="L46" s="37" t="n">
        <f aca="false">IF($P$46=$P$45*($P$45-1)/2,GEOMEAN(C46:E46),"")</f>
        <v>1.25992104989487</v>
      </c>
      <c r="M46" s="36" t="n">
        <f aca="false">IF($P$46=$P$45*($P$45-1)/2,L46/SUM($L$45:$L$47),"")</f>
        <v>0.4</v>
      </c>
      <c r="O46" s="48" t="s">
        <v>230</v>
      </c>
      <c r="P46" s="11" t="n">
        <f aca="false">(COUNT(C45:E47)-$P$45)/2</f>
        <v>3</v>
      </c>
      <c r="Q46" s="8" t="s">
        <v>133</v>
      </c>
      <c r="T46" s="30" t="n">
        <f aca="false">IF(AND(ISNUMBER(E46),ISNUMBER($M46),ISNUMBER($M47)),MAX(E46*$M47/$M46,$M46/(E46*$M47)),"")</f>
        <v>1</v>
      </c>
      <c r="AA46" s="49" t="n">
        <f aca="false">IF(COUNT(R46:T46)=0,"",MAX(R46:T46))</f>
        <v>1</v>
      </c>
    </row>
    <row r="47" customFormat="false" ht="27" hidden="false" customHeight="true" outlineLevel="0" collapsed="false">
      <c r="A47" s="19" t="s">
        <v>135</v>
      </c>
      <c r="B47" s="9" t="s">
        <v>136</v>
      </c>
      <c r="C47" s="31" t="n">
        <f aca="false">IF(ISNUMBER(E45),1/E45,"")</f>
        <v>0.5</v>
      </c>
      <c r="D47" s="31" t="n">
        <f aca="false">IF(ISNUMBER(E46),1/E46,"")</f>
        <v>0.5</v>
      </c>
      <c r="E47" s="31" t="n">
        <v>1</v>
      </c>
      <c r="L47" s="37" t="n">
        <f aca="false">IF($P$46=$P$45*($P$45-1)/2,GEOMEAN(C47:E47),"")</f>
        <v>0.629960524947437</v>
      </c>
      <c r="M47" s="36" t="n">
        <f aca="false">IF($P$46=$P$45*($P$45-1)/2,L47/SUM($L$45:$L$47),"")</f>
        <v>0.2</v>
      </c>
      <c r="O47" s="48" t="s">
        <v>231</v>
      </c>
      <c r="P47" s="37" t="n">
        <f aca="false">IF($P$46=$P$45*($P$45-1)/2,SUMPRODUCT(C48:E48,C49:E49),"")</f>
        <v>3</v>
      </c>
      <c r="Q47" s="8" t="s">
        <v>135</v>
      </c>
    </row>
    <row r="48" customFormat="false" ht="15" hidden="false" customHeight="false" outlineLevel="0" collapsed="false">
      <c r="A48" s="50"/>
      <c r="B48" s="51" t="s">
        <v>235</v>
      </c>
      <c r="C48" s="52" t="n">
        <f aca="false">IF($P$46=$P$45*($P$45-1)/2,SUM(C45:C47),"")</f>
        <v>2.5</v>
      </c>
      <c r="D48" s="52" t="n">
        <f aca="false">IF($P$46=$P$45*($P$45-1)/2,SUM(D45:D47),"")</f>
        <v>2.5</v>
      </c>
      <c r="E48" s="52" t="n">
        <f aca="false">IF($P$46=$P$45*($P$45-1)/2,SUM(E45:E47),"")</f>
        <v>5</v>
      </c>
      <c r="M48" s="53" t="n">
        <f aca="false">IF($P$46=$P$45*($P$45-1)/2,SUM(M45:M47),"")</f>
        <v>1</v>
      </c>
      <c r="O48" s="48" t="s">
        <v>48</v>
      </c>
      <c r="P48" s="37" t="n">
        <f aca="false">IF(ISNUMBER(P47),(P47-$P$45)/($P$45-1),"")</f>
        <v>0</v>
      </c>
    </row>
    <row r="49" customFormat="false" ht="15" hidden="false" customHeight="false" outlineLevel="0" collapsed="false">
      <c r="A49" s="50"/>
      <c r="B49" s="51" t="s">
        <v>236</v>
      </c>
      <c r="C49" s="53" t="n">
        <f aca="false">M45</f>
        <v>0.4</v>
      </c>
      <c r="D49" s="53" t="n">
        <f aca="false">M46</f>
        <v>0.4</v>
      </c>
      <c r="E49" s="53" t="n">
        <f aca="false">M47</f>
        <v>0.2</v>
      </c>
      <c r="O49" s="48" t="s">
        <v>232</v>
      </c>
      <c r="P49" s="30" t="n">
        <f aca="false">INDEX(راهنما!$C$29:$C$38,MATCH($P$45,راهنما!$B$29:$B$38,0))</f>
        <v>0.58</v>
      </c>
    </row>
    <row r="50" customFormat="false" ht="15" hidden="false" customHeight="false" outlineLevel="0" collapsed="false">
      <c r="O50" s="48" t="s">
        <v>50</v>
      </c>
      <c r="P50" s="41" t="n">
        <f aca="false">IF(ISNUMBER(P48),IF(P49=0,0,MAX(0,P48)/P49),"")</f>
        <v>0</v>
      </c>
    </row>
    <row r="51" customFormat="false" ht="15" hidden="false" customHeight="false" outlineLevel="0" collapsed="false">
      <c r="O51" s="48" t="s">
        <v>83</v>
      </c>
      <c r="P51" s="10" t="str">
        <f aca="false">IF(NOT($P$46=$P$45*($P$45-1)/2),"ناقص",IF(P50&lt;=$P$3,"سازگار","ناسازگار"))</f>
        <v>سازگار</v>
      </c>
    </row>
    <row r="52" customFormat="false" ht="15" hidden="false" customHeight="false" outlineLevel="0" collapsed="false">
      <c r="O52" s="48" t="s">
        <v>233</v>
      </c>
      <c r="P52" s="30" t="n">
        <f aca="false">IF(COUNT(AA45:AA47)=0,"",MAX(AA45:AA47))</f>
        <v>1</v>
      </c>
    </row>
    <row r="53" customFormat="false" ht="15" hidden="false" customHeight="false" outlineLevel="0" collapsed="false">
      <c r="O53" s="48" t="s">
        <v>234</v>
      </c>
      <c r="P53" s="19" t="str">
        <f aca="false">IF(ISNUMBER(P52),INDEX(A45:A47,MATCH(P52,AA45:AA47,0))&amp;" و "&amp;INDEX(C44:E44,MATCH(P52,INDEX(R45:T47,MATCH(P52,AA45:AA47,0),0),0)),"")</f>
        <v>گ۸ و گ۹</v>
      </c>
    </row>
    <row r="55" customFormat="false" ht="15" hidden="false" customHeight="false" outlineLevel="0" collapsed="false">
      <c r="A55" s="45" t="s">
        <v>240</v>
      </c>
      <c r="B55" s="45"/>
      <c r="C55" s="45"/>
      <c r="D55" s="45"/>
      <c r="E55" s="45"/>
      <c r="F55" s="45"/>
      <c r="G55" s="45"/>
      <c r="H55" s="45"/>
      <c r="I55" s="45"/>
      <c r="J55" s="45"/>
      <c r="K55" s="45"/>
      <c r="L55" s="45"/>
      <c r="M55" s="45"/>
      <c r="Q55" s="46" t="s">
        <v>224</v>
      </c>
      <c r="R55" s="46"/>
      <c r="S55" s="46"/>
      <c r="T55" s="46"/>
      <c r="U55" s="46"/>
      <c r="V55" s="46"/>
      <c r="W55" s="46"/>
      <c r="X55" s="46"/>
      <c r="Y55" s="46"/>
      <c r="Z55" s="46"/>
      <c r="AA55" s="46"/>
    </row>
    <row r="56" customFormat="false" ht="27.75" hidden="false" customHeight="true" outlineLevel="0" collapsed="false">
      <c r="A56" s="8" t="s">
        <v>199</v>
      </c>
      <c r="B56" s="8" t="s">
        <v>225</v>
      </c>
      <c r="C56" s="8" t="s">
        <v>137</v>
      </c>
      <c r="D56" s="8" t="s">
        <v>139</v>
      </c>
      <c r="E56" s="8" t="s">
        <v>141</v>
      </c>
      <c r="F56" s="8" t="s">
        <v>143</v>
      </c>
      <c r="L56" s="7" t="s">
        <v>226</v>
      </c>
      <c r="M56" s="8" t="s">
        <v>227</v>
      </c>
      <c r="Q56" s="8" t="s">
        <v>199</v>
      </c>
      <c r="R56" s="8" t="s">
        <v>137</v>
      </c>
      <c r="S56" s="8" t="s">
        <v>139</v>
      </c>
      <c r="T56" s="8" t="s">
        <v>141</v>
      </c>
      <c r="U56" s="8" t="s">
        <v>143</v>
      </c>
      <c r="AA56" s="47" t="s">
        <v>228</v>
      </c>
    </row>
    <row r="57" customFormat="false" ht="27" hidden="false" customHeight="true" outlineLevel="0" collapsed="false">
      <c r="A57" s="19" t="s">
        <v>137</v>
      </c>
      <c r="B57" s="9" t="s">
        <v>138</v>
      </c>
      <c r="C57" s="31" t="n">
        <v>1</v>
      </c>
      <c r="D57" s="31" t="n">
        <f aca="false">نسبت!G57</f>
        <v>1</v>
      </c>
      <c r="E57" s="31" t="n">
        <f aca="false">نسبت!G58</f>
        <v>2</v>
      </c>
      <c r="F57" s="31" t="n">
        <f aca="false">نسبت!G59</f>
        <v>1</v>
      </c>
      <c r="L57" s="37" t="n">
        <f aca="false">IF($P$58=$P$57*($P$57-1)/2,GEOMEAN(C57:F57),"")</f>
        <v>1.18920711500272</v>
      </c>
      <c r="M57" s="36" t="n">
        <f aca="false">IF($P$58=$P$57*($P$57-1)/2,L57/SUM($L$57:$L$60),"")</f>
        <v>0.285714285714286</v>
      </c>
      <c r="O57" s="48" t="s">
        <v>229</v>
      </c>
      <c r="P57" s="11" t="n">
        <f aca="false">ROWS(A57:A60)</f>
        <v>4</v>
      </c>
      <c r="Q57" s="8" t="s">
        <v>137</v>
      </c>
      <c r="S57" s="30" t="n">
        <f aca="false">IF(AND(ISNUMBER(D57),ISNUMBER($M57),ISNUMBER($M58)),MAX(D57*$M58/$M57,$M57/(D57*$M58)),"")</f>
        <v>1</v>
      </c>
      <c r="T57" s="30" t="n">
        <f aca="false">IF(AND(ISNUMBER(E57),ISNUMBER($M57),ISNUMBER($M59)),MAX(E57*$M59/$M57,$M57/(E57*$M59)),"")</f>
        <v>1</v>
      </c>
      <c r="U57" s="30" t="n">
        <f aca="false">IF(AND(ISNUMBER(F57),ISNUMBER($M57),ISNUMBER($M60)),MAX(F57*$M60/$M57,$M57/(F57*$M60)),"")</f>
        <v>1</v>
      </c>
      <c r="AA57" s="49" t="n">
        <f aca="false">IF(COUNT(R57:U57)=0,"",MAX(R57:U57))</f>
        <v>1</v>
      </c>
    </row>
    <row r="58" customFormat="false" ht="27" hidden="false" customHeight="true" outlineLevel="0" collapsed="false">
      <c r="A58" s="19" t="s">
        <v>139</v>
      </c>
      <c r="B58" s="9" t="s">
        <v>140</v>
      </c>
      <c r="C58" s="31" t="n">
        <f aca="false">IF(ISNUMBER(D57),1/D57,"")</f>
        <v>1</v>
      </c>
      <c r="D58" s="31" t="n">
        <v>1</v>
      </c>
      <c r="E58" s="31" t="n">
        <f aca="false">نسبت!G60</f>
        <v>2</v>
      </c>
      <c r="F58" s="31" t="n">
        <f aca="false">نسبت!G61</f>
        <v>1</v>
      </c>
      <c r="L58" s="37" t="n">
        <f aca="false">IF($P$58=$P$57*($P$57-1)/2,GEOMEAN(C58:F58),"")</f>
        <v>1.18920711500272</v>
      </c>
      <c r="M58" s="36" t="n">
        <f aca="false">IF($P$58=$P$57*($P$57-1)/2,L58/SUM($L$57:$L$60),"")</f>
        <v>0.285714285714286</v>
      </c>
      <c r="O58" s="48" t="s">
        <v>230</v>
      </c>
      <c r="P58" s="11" t="n">
        <f aca="false">(COUNT(C57:F60)-$P$57)/2</f>
        <v>6</v>
      </c>
      <c r="Q58" s="8" t="s">
        <v>139</v>
      </c>
      <c r="T58" s="30" t="n">
        <f aca="false">IF(AND(ISNUMBER(E58),ISNUMBER($M58),ISNUMBER($M59)),MAX(E58*$M59/$M58,$M58/(E58*$M59)),"")</f>
        <v>1</v>
      </c>
      <c r="U58" s="30" t="n">
        <f aca="false">IF(AND(ISNUMBER(F58),ISNUMBER($M58),ISNUMBER($M60)),MAX(F58*$M60/$M58,$M58/(F58*$M60)),"")</f>
        <v>1</v>
      </c>
      <c r="AA58" s="49" t="n">
        <f aca="false">IF(COUNT(R58:U58)=0,"",MAX(R58:U58))</f>
        <v>1</v>
      </c>
    </row>
    <row r="59" customFormat="false" ht="27" hidden="false" customHeight="true" outlineLevel="0" collapsed="false">
      <c r="A59" s="19" t="s">
        <v>141</v>
      </c>
      <c r="B59" s="9" t="s">
        <v>142</v>
      </c>
      <c r="C59" s="31" t="n">
        <f aca="false">IF(ISNUMBER(E57),1/E57,"")</f>
        <v>0.5</v>
      </c>
      <c r="D59" s="31" t="n">
        <f aca="false">IF(ISNUMBER(E58),1/E58,"")</f>
        <v>0.5</v>
      </c>
      <c r="E59" s="31" t="n">
        <v>1</v>
      </c>
      <c r="F59" s="31" t="n">
        <f aca="false">نسبت!G62</f>
        <v>0.5</v>
      </c>
      <c r="L59" s="37" t="n">
        <f aca="false">IF($P$58=$P$57*($P$57-1)/2,GEOMEAN(C59:F59),"")</f>
        <v>0.594603557501361</v>
      </c>
      <c r="M59" s="36" t="n">
        <f aca="false">IF($P$58=$P$57*($P$57-1)/2,L59/SUM($L$57:$L$60),"")</f>
        <v>0.142857142857143</v>
      </c>
      <c r="O59" s="48" t="s">
        <v>231</v>
      </c>
      <c r="P59" s="37" t="n">
        <f aca="false">IF($P$58=$P$57*($P$57-1)/2,SUMPRODUCT(C61:F61,C62:F62),"")</f>
        <v>4</v>
      </c>
      <c r="Q59" s="8" t="s">
        <v>141</v>
      </c>
      <c r="U59" s="30" t="n">
        <f aca="false">IF(AND(ISNUMBER(F59),ISNUMBER($M59),ISNUMBER($M60)),MAX(F59*$M60/$M59,$M59/(F59*$M60)),"")</f>
        <v>1</v>
      </c>
      <c r="AA59" s="49" t="n">
        <f aca="false">IF(COUNT(R59:U59)=0,"",MAX(R59:U59))</f>
        <v>1</v>
      </c>
    </row>
    <row r="60" customFormat="false" ht="27" hidden="false" customHeight="true" outlineLevel="0" collapsed="false">
      <c r="A60" s="19" t="s">
        <v>143</v>
      </c>
      <c r="B60" s="9" t="s">
        <v>144</v>
      </c>
      <c r="C60" s="31" t="n">
        <f aca="false">IF(ISNUMBER(F57),1/F57,"")</f>
        <v>1</v>
      </c>
      <c r="D60" s="31" t="n">
        <f aca="false">IF(ISNUMBER(F58),1/F58,"")</f>
        <v>1</v>
      </c>
      <c r="E60" s="31" t="n">
        <f aca="false">IF(ISNUMBER(F59),1/F59,"")</f>
        <v>2</v>
      </c>
      <c r="F60" s="31" t="n">
        <v>1</v>
      </c>
      <c r="L60" s="37" t="n">
        <f aca="false">IF($P$58=$P$57*($P$57-1)/2,GEOMEAN(C60:F60),"")</f>
        <v>1.18920711500272</v>
      </c>
      <c r="M60" s="36" t="n">
        <f aca="false">IF($P$58=$P$57*($P$57-1)/2,L60/SUM($L$57:$L$60),"")</f>
        <v>0.285714285714286</v>
      </c>
      <c r="O60" s="48" t="s">
        <v>48</v>
      </c>
      <c r="P60" s="37" t="n">
        <f aca="false">IF(ISNUMBER(P59),(P59-$P$57)/($P$57-1),"")</f>
        <v>0</v>
      </c>
      <c r="Q60" s="8" t="s">
        <v>143</v>
      </c>
    </row>
    <row r="61" customFormat="false" ht="15" hidden="false" customHeight="false" outlineLevel="0" collapsed="false">
      <c r="A61" s="50"/>
      <c r="B61" s="51" t="s">
        <v>235</v>
      </c>
      <c r="C61" s="52" t="n">
        <f aca="false">IF($P$58=$P$57*($P$57-1)/2,SUM(C57:C60),"")</f>
        <v>3.5</v>
      </c>
      <c r="D61" s="52" t="n">
        <f aca="false">IF($P$58=$P$57*($P$57-1)/2,SUM(D57:D60),"")</f>
        <v>3.5</v>
      </c>
      <c r="E61" s="52" t="n">
        <f aca="false">IF($P$58=$P$57*($P$57-1)/2,SUM(E57:E60),"")</f>
        <v>7</v>
      </c>
      <c r="F61" s="52" t="n">
        <f aca="false">IF($P$58=$P$57*($P$57-1)/2,SUM(F57:F60),"")</f>
        <v>3.5</v>
      </c>
      <c r="M61" s="53" t="n">
        <f aca="false">IF($P$58=$P$57*($P$57-1)/2,SUM(M57:M60),"")</f>
        <v>1</v>
      </c>
      <c r="O61" s="48" t="s">
        <v>232</v>
      </c>
      <c r="P61" s="30" t="n">
        <f aca="false">INDEX(راهنما!$C$29:$C$38,MATCH($P$57,راهنما!$B$29:$B$38,0))</f>
        <v>0.9</v>
      </c>
    </row>
    <row r="62" customFormat="false" ht="15" hidden="false" customHeight="false" outlineLevel="0" collapsed="false">
      <c r="A62" s="50"/>
      <c r="B62" s="51" t="s">
        <v>236</v>
      </c>
      <c r="C62" s="53" t="n">
        <f aca="false">M57</f>
        <v>0.285714285714286</v>
      </c>
      <c r="D62" s="53" t="n">
        <f aca="false">M58</f>
        <v>0.285714285714286</v>
      </c>
      <c r="E62" s="53" t="n">
        <f aca="false">M59</f>
        <v>0.142857142857143</v>
      </c>
      <c r="F62" s="53" t="n">
        <f aca="false">M60</f>
        <v>0.285714285714286</v>
      </c>
      <c r="O62" s="48" t="s">
        <v>50</v>
      </c>
      <c r="P62" s="41" t="n">
        <f aca="false">IF(ISNUMBER(P60),IF(P61=0,0,MAX(0,P60)/P61),"")</f>
        <v>0</v>
      </c>
    </row>
    <row r="63" customFormat="false" ht="15" hidden="false" customHeight="false" outlineLevel="0" collapsed="false">
      <c r="O63" s="48" t="s">
        <v>83</v>
      </c>
      <c r="P63" s="10" t="str">
        <f aca="false">IF(NOT($P$58=$P$57*($P$57-1)/2),"ناقص",IF(P62&lt;=$P$3,"سازگار","ناسازگار"))</f>
        <v>سازگار</v>
      </c>
    </row>
    <row r="64" customFormat="false" ht="15" hidden="false" customHeight="false" outlineLevel="0" collapsed="false">
      <c r="O64" s="48" t="s">
        <v>233</v>
      </c>
      <c r="P64" s="30" t="n">
        <f aca="false">IF(COUNT(AA57:AA60)=0,"",MAX(AA57:AA60))</f>
        <v>1</v>
      </c>
    </row>
    <row r="65" customFormat="false" ht="15" hidden="false" customHeight="false" outlineLevel="0" collapsed="false">
      <c r="O65" s="48" t="s">
        <v>234</v>
      </c>
      <c r="P65" s="19" t="str">
        <f aca="false">IF(ISNUMBER(P64),INDEX(A57:A60,MATCH(P64,AA57:AA60,0))&amp;" و "&amp;INDEX(C56:F56,MATCH(P64,INDEX(R57:U60,MATCH(P64,AA57:AA60,0),0),0)),"")</f>
        <v>گ۱۱ و گ۱۲</v>
      </c>
    </row>
    <row r="67" customFormat="false" ht="15" hidden="false" customHeight="false" outlineLevel="0" collapsed="false">
      <c r="A67" s="45" t="s">
        <v>241</v>
      </c>
      <c r="B67" s="45"/>
      <c r="C67" s="45"/>
      <c r="D67" s="45"/>
      <c r="E67" s="45"/>
      <c r="F67" s="45"/>
      <c r="G67" s="45"/>
      <c r="H67" s="45"/>
      <c r="I67" s="45"/>
      <c r="J67" s="45"/>
      <c r="K67" s="45"/>
      <c r="L67" s="45"/>
      <c r="M67" s="45"/>
      <c r="Q67" s="46" t="s">
        <v>224</v>
      </c>
      <c r="R67" s="46"/>
      <c r="S67" s="46"/>
      <c r="T67" s="46"/>
      <c r="U67" s="46"/>
      <c r="V67" s="46"/>
      <c r="W67" s="46"/>
      <c r="X67" s="46"/>
      <c r="Y67" s="46"/>
      <c r="Z67" s="46"/>
      <c r="AA67" s="46"/>
    </row>
    <row r="68" customFormat="false" ht="27.75" hidden="false" customHeight="true" outlineLevel="0" collapsed="false">
      <c r="A68" s="8" t="s">
        <v>199</v>
      </c>
      <c r="B68" s="8" t="s">
        <v>225</v>
      </c>
      <c r="C68" s="8" t="s">
        <v>145</v>
      </c>
      <c r="D68" s="8" t="s">
        <v>147</v>
      </c>
      <c r="E68" s="8" t="s">
        <v>149</v>
      </c>
      <c r="F68" s="8" t="s">
        <v>151</v>
      </c>
      <c r="L68" s="7" t="s">
        <v>226</v>
      </c>
      <c r="M68" s="8" t="s">
        <v>227</v>
      </c>
      <c r="Q68" s="8" t="s">
        <v>199</v>
      </c>
      <c r="R68" s="8" t="s">
        <v>145</v>
      </c>
      <c r="S68" s="8" t="s">
        <v>147</v>
      </c>
      <c r="T68" s="8" t="s">
        <v>149</v>
      </c>
      <c r="U68" s="8" t="s">
        <v>151</v>
      </c>
      <c r="AA68" s="47" t="s">
        <v>228</v>
      </c>
    </row>
    <row r="69" customFormat="false" ht="27" hidden="false" customHeight="true" outlineLevel="0" collapsed="false">
      <c r="A69" s="19" t="s">
        <v>145</v>
      </c>
      <c r="B69" s="9" t="s">
        <v>146</v>
      </c>
      <c r="C69" s="31" t="n">
        <v>1</v>
      </c>
      <c r="D69" s="31" t="n">
        <f aca="false">نسبت!G63</f>
        <v>1</v>
      </c>
      <c r="E69" s="31" t="n">
        <f aca="false">نسبت!G64</f>
        <v>1</v>
      </c>
      <c r="F69" s="31" t="n">
        <f aca="false">نسبت!G65</f>
        <v>1</v>
      </c>
      <c r="L69" s="37" t="n">
        <f aca="false">IF($P$70=$P$69*($P$69-1)/2,GEOMEAN(C69:F69),"")</f>
        <v>1</v>
      </c>
      <c r="M69" s="36" t="n">
        <f aca="false">IF($P$70=$P$69*($P$69-1)/2,L69/SUM($L$69:$L$72),"")</f>
        <v>0.25</v>
      </c>
      <c r="O69" s="48" t="s">
        <v>229</v>
      </c>
      <c r="P69" s="11" t="n">
        <f aca="false">ROWS(A69:A72)</f>
        <v>4</v>
      </c>
      <c r="Q69" s="8" t="s">
        <v>145</v>
      </c>
      <c r="S69" s="30" t="n">
        <f aca="false">IF(AND(ISNUMBER(D69),ISNUMBER($M69),ISNUMBER($M70)),MAX(D69*$M70/$M69,$M69/(D69*$M70)),"")</f>
        <v>1</v>
      </c>
      <c r="T69" s="30" t="n">
        <f aca="false">IF(AND(ISNUMBER(E69),ISNUMBER($M69),ISNUMBER($M71)),MAX(E69*$M71/$M69,$M69/(E69*$M71)),"")</f>
        <v>1</v>
      </c>
      <c r="U69" s="30" t="n">
        <f aca="false">IF(AND(ISNUMBER(F69),ISNUMBER($M69),ISNUMBER($M72)),MAX(F69*$M72/$M69,$M69/(F69*$M72)),"")</f>
        <v>1</v>
      </c>
      <c r="AA69" s="49" t="n">
        <f aca="false">IF(COUNT(R69:U69)=0,"",MAX(R69:U69))</f>
        <v>1</v>
      </c>
    </row>
    <row r="70" customFormat="false" ht="27" hidden="false" customHeight="true" outlineLevel="0" collapsed="false">
      <c r="A70" s="19" t="s">
        <v>147</v>
      </c>
      <c r="B70" s="9" t="s">
        <v>148</v>
      </c>
      <c r="C70" s="31" t="n">
        <f aca="false">IF(ISNUMBER(D69),1/D69,"")</f>
        <v>1</v>
      </c>
      <c r="D70" s="31" t="n">
        <v>1</v>
      </c>
      <c r="E70" s="31" t="n">
        <f aca="false">نسبت!G66</f>
        <v>1</v>
      </c>
      <c r="F70" s="31" t="n">
        <f aca="false">نسبت!G67</f>
        <v>1</v>
      </c>
      <c r="L70" s="37" t="n">
        <f aca="false">IF($P$70=$P$69*($P$69-1)/2,GEOMEAN(C70:F70),"")</f>
        <v>1</v>
      </c>
      <c r="M70" s="36" t="n">
        <f aca="false">IF($P$70=$P$69*($P$69-1)/2,L70/SUM($L$69:$L$72),"")</f>
        <v>0.25</v>
      </c>
      <c r="O70" s="48" t="s">
        <v>230</v>
      </c>
      <c r="P70" s="11" t="n">
        <f aca="false">(COUNT(C69:F72)-$P$69)/2</f>
        <v>6</v>
      </c>
      <c r="Q70" s="8" t="s">
        <v>147</v>
      </c>
      <c r="T70" s="30" t="n">
        <f aca="false">IF(AND(ISNUMBER(E70),ISNUMBER($M70),ISNUMBER($M71)),MAX(E70*$M71/$M70,$M70/(E70*$M71)),"")</f>
        <v>1</v>
      </c>
      <c r="U70" s="30" t="n">
        <f aca="false">IF(AND(ISNUMBER(F70),ISNUMBER($M70),ISNUMBER($M72)),MAX(F70*$M72/$M70,$M70/(F70*$M72)),"")</f>
        <v>1</v>
      </c>
      <c r="AA70" s="49" t="n">
        <f aca="false">IF(COUNT(R70:U70)=0,"",MAX(R70:U70))</f>
        <v>1</v>
      </c>
    </row>
    <row r="71" customFormat="false" ht="27" hidden="false" customHeight="true" outlineLevel="0" collapsed="false">
      <c r="A71" s="19" t="s">
        <v>149</v>
      </c>
      <c r="B71" s="9" t="s">
        <v>150</v>
      </c>
      <c r="C71" s="31" t="n">
        <f aca="false">IF(ISNUMBER(E69),1/E69,"")</f>
        <v>1</v>
      </c>
      <c r="D71" s="31" t="n">
        <f aca="false">IF(ISNUMBER(E70),1/E70,"")</f>
        <v>1</v>
      </c>
      <c r="E71" s="31" t="n">
        <v>1</v>
      </c>
      <c r="F71" s="31" t="n">
        <f aca="false">نسبت!G68</f>
        <v>1</v>
      </c>
      <c r="L71" s="37" t="n">
        <f aca="false">IF($P$70=$P$69*($P$69-1)/2,GEOMEAN(C71:F71),"")</f>
        <v>1</v>
      </c>
      <c r="M71" s="36" t="n">
        <f aca="false">IF($P$70=$P$69*($P$69-1)/2,L71/SUM($L$69:$L$72),"")</f>
        <v>0.25</v>
      </c>
      <c r="O71" s="48" t="s">
        <v>231</v>
      </c>
      <c r="P71" s="37" t="n">
        <f aca="false">IF($P$70=$P$69*($P$69-1)/2,SUMPRODUCT(C73:F73,C74:F74),"")</f>
        <v>4</v>
      </c>
      <c r="Q71" s="8" t="s">
        <v>149</v>
      </c>
      <c r="U71" s="30" t="n">
        <f aca="false">IF(AND(ISNUMBER(F71),ISNUMBER($M71),ISNUMBER($M72)),MAX(F71*$M72/$M71,$M71/(F71*$M72)),"")</f>
        <v>1</v>
      </c>
      <c r="AA71" s="49" t="n">
        <f aca="false">IF(COUNT(R71:U71)=0,"",MAX(R71:U71))</f>
        <v>1</v>
      </c>
    </row>
    <row r="72" customFormat="false" ht="27" hidden="false" customHeight="true" outlineLevel="0" collapsed="false">
      <c r="A72" s="19" t="s">
        <v>151</v>
      </c>
      <c r="B72" s="9" t="s">
        <v>152</v>
      </c>
      <c r="C72" s="31" t="n">
        <f aca="false">IF(ISNUMBER(F69),1/F69,"")</f>
        <v>1</v>
      </c>
      <c r="D72" s="31" t="n">
        <f aca="false">IF(ISNUMBER(F70),1/F70,"")</f>
        <v>1</v>
      </c>
      <c r="E72" s="31" t="n">
        <f aca="false">IF(ISNUMBER(F71),1/F71,"")</f>
        <v>1</v>
      </c>
      <c r="F72" s="31" t="n">
        <v>1</v>
      </c>
      <c r="L72" s="37" t="n">
        <f aca="false">IF($P$70=$P$69*($P$69-1)/2,GEOMEAN(C72:F72),"")</f>
        <v>1</v>
      </c>
      <c r="M72" s="36" t="n">
        <f aca="false">IF($P$70=$P$69*($P$69-1)/2,L72/SUM($L$69:$L$72),"")</f>
        <v>0.25</v>
      </c>
      <c r="O72" s="48" t="s">
        <v>48</v>
      </c>
      <c r="P72" s="37" t="n">
        <f aca="false">IF(ISNUMBER(P71),(P71-$P$69)/($P$69-1),"")</f>
        <v>0</v>
      </c>
      <c r="Q72" s="8" t="s">
        <v>151</v>
      </c>
    </row>
    <row r="73" customFormat="false" ht="15" hidden="false" customHeight="false" outlineLevel="0" collapsed="false">
      <c r="A73" s="50"/>
      <c r="B73" s="51" t="s">
        <v>235</v>
      </c>
      <c r="C73" s="52" t="n">
        <f aca="false">IF($P$70=$P$69*($P$69-1)/2,SUM(C69:C72),"")</f>
        <v>4</v>
      </c>
      <c r="D73" s="52" t="n">
        <f aca="false">IF($P$70=$P$69*($P$69-1)/2,SUM(D69:D72),"")</f>
        <v>4</v>
      </c>
      <c r="E73" s="52" t="n">
        <f aca="false">IF($P$70=$P$69*($P$69-1)/2,SUM(E69:E72),"")</f>
        <v>4</v>
      </c>
      <c r="F73" s="52" t="n">
        <f aca="false">IF($P$70=$P$69*($P$69-1)/2,SUM(F69:F72),"")</f>
        <v>4</v>
      </c>
      <c r="M73" s="53" t="n">
        <f aca="false">IF($P$70=$P$69*($P$69-1)/2,SUM(M69:M72),"")</f>
        <v>1</v>
      </c>
      <c r="O73" s="48" t="s">
        <v>232</v>
      </c>
      <c r="P73" s="30" t="n">
        <f aca="false">INDEX(راهنما!$C$29:$C$38,MATCH($P$69,راهنما!$B$29:$B$38,0))</f>
        <v>0.9</v>
      </c>
    </row>
    <row r="74" customFormat="false" ht="15" hidden="false" customHeight="false" outlineLevel="0" collapsed="false">
      <c r="A74" s="50"/>
      <c r="B74" s="51" t="s">
        <v>236</v>
      </c>
      <c r="C74" s="53" t="n">
        <f aca="false">M69</f>
        <v>0.25</v>
      </c>
      <c r="D74" s="53" t="n">
        <f aca="false">M70</f>
        <v>0.25</v>
      </c>
      <c r="E74" s="53" t="n">
        <f aca="false">M71</f>
        <v>0.25</v>
      </c>
      <c r="F74" s="53" t="n">
        <f aca="false">M72</f>
        <v>0.25</v>
      </c>
      <c r="O74" s="48" t="s">
        <v>50</v>
      </c>
      <c r="P74" s="41" t="n">
        <f aca="false">IF(ISNUMBER(P72),IF(P73=0,0,MAX(0,P72)/P73),"")</f>
        <v>0</v>
      </c>
    </row>
    <row r="75" customFormat="false" ht="15" hidden="false" customHeight="false" outlineLevel="0" collapsed="false">
      <c r="O75" s="48" t="s">
        <v>83</v>
      </c>
      <c r="P75" s="10" t="str">
        <f aca="false">IF(NOT($P$70=$P$69*($P$69-1)/2),"ناقص",IF(P74&lt;=$P$3,"سازگار","ناسازگار"))</f>
        <v>سازگار</v>
      </c>
    </row>
    <row r="76" customFormat="false" ht="15" hidden="false" customHeight="false" outlineLevel="0" collapsed="false">
      <c r="O76" s="48" t="s">
        <v>233</v>
      </c>
      <c r="P76" s="30" t="n">
        <f aca="false">IF(COUNT(AA69:AA72)=0,"",MAX(AA69:AA72))</f>
        <v>1</v>
      </c>
    </row>
    <row r="77" customFormat="false" ht="15" hidden="false" customHeight="false" outlineLevel="0" collapsed="false">
      <c r="O77" s="48" t="s">
        <v>234</v>
      </c>
      <c r="P77" s="19" t="str">
        <f aca="false">IF(ISNUMBER(P76),INDEX(A69:A72,MATCH(P76,AA69:AA72,0))&amp;" و "&amp;INDEX(C68:F68,MATCH(P76,INDEX(R69:U72,MATCH(P76,AA69:AA72,0),0),0)),"")</f>
        <v>گ۱۵ و گ۱۶</v>
      </c>
    </row>
    <row r="79" customFormat="false" ht="15" hidden="false" customHeight="false" outlineLevel="0" collapsed="false">
      <c r="A79" s="45" t="s">
        <v>242</v>
      </c>
      <c r="B79" s="45"/>
      <c r="C79" s="45"/>
      <c r="D79" s="45"/>
      <c r="E79" s="45"/>
      <c r="F79" s="45"/>
      <c r="G79" s="45"/>
      <c r="H79" s="45"/>
      <c r="I79" s="45"/>
      <c r="J79" s="45"/>
      <c r="K79" s="45"/>
      <c r="L79" s="45"/>
      <c r="M79" s="45"/>
      <c r="Q79" s="46" t="s">
        <v>224</v>
      </c>
      <c r="R79" s="46"/>
      <c r="S79" s="46"/>
      <c r="T79" s="46"/>
      <c r="U79" s="46"/>
      <c r="V79" s="46"/>
      <c r="W79" s="46"/>
      <c r="X79" s="46"/>
      <c r="Y79" s="46"/>
      <c r="Z79" s="46"/>
      <c r="AA79" s="46"/>
    </row>
    <row r="80" customFormat="false" ht="27.75" hidden="false" customHeight="true" outlineLevel="0" collapsed="false">
      <c r="A80" s="8" t="s">
        <v>199</v>
      </c>
      <c r="B80" s="8" t="s">
        <v>225</v>
      </c>
      <c r="C80" s="8" t="s">
        <v>153</v>
      </c>
      <c r="D80" s="8" t="s">
        <v>155</v>
      </c>
      <c r="E80" s="8" t="s">
        <v>157</v>
      </c>
      <c r="L80" s="7" t="s">
        <v>226</v>
      </c>
      <c r="M80" s="8" t="s">
        <v>227</v>
      </c>
      <c r="Q80" s="8" t="s">
        <v>199</v>
      </c>
      <c r="R80" s="8" t="s">
        <v>153</v>
      </c>
      <c r="S80" s="8" t="s">
        <v>155</v>
      </c>
      <c r="T80" s="8" t="s">
        <v>157</v>
      </c>
      <c r="AA80" s="47" t="s">
        <v>228</v>
      </c>
    </row>
    <row r="81" customFormat="false" ht="27" hidden="false" customHeight="true" outlineLevel="0" collapsed="false">
      <c r="A81" s="19" t="s">
        <v>153</v>
      </c>
      <c r="B81" s="9" t="s">
        <v>154</v>
      </c>
      <c r="C81" s="31" t="n">
        <v>1</v>
      </c>
      <c r="D81" s="31" t="n">
        <f aca="false">نسبت!G69</f>
        <v>2</v>
      </c>
      <c r="E81" s="31" t="n">
        <f aca="false">نسبت!G70</f>
        <v>2</v>
      </c>
      <c r="L81" s="37" t="n">
        <f aca="false">IF($P$82=$P$81*($P$81-1)/2,GEOMEAN(C81:E81),"")</f>
        <v>1.5874010519682</v>
      </c>
      <c r="M81" s="36" t="n">
        <f aca="false">IF($P$82=$P$81*($P$81-1)/2,L81/SUM($L$81:$L$83),"")</f>
        <v>0.5</v>
      </c>
      <c r="O81" s="48" t="s">
        <v>229</v>
      </c>
      <c r="P81" s="11" t="n">
        <f aca="false">ROWS(A81:A83)</f>
        <v>3</v>
      </c>
      <c r="Q81" s="8" t="s">
        <v>153</v>
      </c>
      <c r="S81" s="30" t="n">
        <f aca="false">IF(AND(ISNUMBER(D81),ISNUMBER($M81),ISNUMBER($M82)),MAX(D81*$M82/$M81,$M81/(D81*$M82)),"")</f>
        <v>1</v>
      </c>
      <c r="T81" s="30" t="n">
        <f aca="false">IF(AND(ISNUMBER(E81),ISNUMBER($M81),ISNUMBER($M83)),MAX(E81*$M83/$M81,$M81/(E81*$M83)),"")</f>
        <v>1</v>
      </c>
      <c r="AA81" s="49" t="n">
        <f aca="false">IF(COUNT(R81:T81)=0,"",MAX(R81:T81))</f>
        <v>1</v>
      </c>
    </row>
    <row r="82" customFormat="false" ht="27" hidden="false" customHeight="true" outlineLevel="0" collapsed="false">
      <c r="A82" s="19" t="s">
        <v>155</v>
      </c>
      <c r="B82" s="9" t="s">
        <v>156</v>
      </c>
      <c r="C82" s="31" t="n">
        <f aca="false">IF(ISNUMBER(D81),1/D81,"")</f>
        <v>0.5</v>
      </c>
      <c r="D82" s="31" t="n">
        <v>1</v>
      </c>
      <c r="E82" s="31" t="n">
        <f aca="false">نسبت!G71</f>
        <v>1</v>
      </c>
      <c r="L82" s="37" t="n">
        <f aca="false">IF($P$82=$P$81*($P$81-1)/2,GEOMEAN(C82:E82),"")</f>
        <v>0.7937005259841</v>
      </c>
      <c r="M82" s="36" t="n">
        <f aca="false">IF($P$82=$P$81*($P$81-1)/2,L82/SUM($L$81:$L$83),"")</f>
        <v>0.25</v>
      </c>
      <c r="O82" s="48" t="s">
        <v>230</v>
      </c>
      <c r="P82" s="11" t="n">
        <f aca="false">(COUNT(C81:E83)-$P$81)/2</f>
        <v>3</v>
      </c>
      <c r="Q82" s="8" t="s">
        <v>155</v>
      </c>
      <c r="T82" s="30" t="n">
        <f aca="false">IF(AND(ISNUMBER(E82),ISNUMBER($M82),ISNUMBER($M83)),MAX(E82*$M83/$M82,$M82/(E82*$M83)),"")</f>
        <v>1</v>
      </c>
      <c r="AA82" s="49" t="n">
        <f aca="false">IF(COUNT(R82:T82)=0,"",MAX(R82:T82))</f>
        <v>1</v>
      </c>
    </row>
    <row r="83" customFormat="false" ht="27" hidden="false" customHeight="true" outlineLevel="0" collapsed="false">
      <c r="A83" s="19" t="s">
        <v>157</v>
      </c>
      <c r="B83" s="9" t="s">
        <v>158</v>
      </c>
      <c r="C83" s="31" t="n">
        <f aca="false">IF(ISNUMBER(E81),1/E81,"")</f>
        <v>0.5</v>
      </c>
      <c r="D83" s="31" t="n">
        <f aca="false">IF(ISNUMBER(E82),1/E82,"")</f>
        <v>1</v>
      </c>
      <c r="E83" s="31" t="n">
        <v>1</v>
      </c>
      <c r="L83" s="37" t="n">
        <f aca="false">IF($P$82=$P$81*($P$81-1)/2,GEOMEAN(C83:E83),"")</f>
        <v>0.7937005259841</v>
      </c>
      <c r="M83" s="36" t="n">
        <f aca="false">IF($P$82=$P$81*($P$81-1)/2,L83/SUM($L$81:$L$83),"")</f>
        <v>0.25</v>
      </c>
      <c r="O83" s="48" t="s">
        <v>231</v>
      </c>
      <c r="P83" s="37" t="n">
        <f aca="false">IF($P$82=$P$81*($P$81-1)/2,SUMPRODUCT(C84:E84,C85:E85),"")</f>
        <v>3</v>
      </c>
      <c r="Q83" s="8" t="s">
        <v>157</v>
      </c>
    </row>
    <row r="84" customFormat="false" ht="15" hidden="false" customHeight="false" outlineLevel="0" collapsed="false">
      <c r="A84" s="50"/>
      <c r="B84" s="51" t="s">
        <v>235</v>
      </c>
      <c r="C84" s="52" t="n">
        <f aca="false">IF($P$82=$P$81*($P$81-1)/2,SUM(C81:C83),"")</f>
        <v>2</v>
      </c>
      <c r="D84" s="52" t="n">
        <f aca="false">IF($P$82=$P$81*($P$81-1)/2,SUM(D81:D83),"")</f>
        <v>4</v>
      </c>
      <c r="E84" s="52" t="n">
        <f aca="false">IF($P$82=$P$81*($P$81-1)/2,SUM(E81:E83),"")</f>
        <v>4</v>
      </c>
      <c r="M84" s="53" t="n">
        <f aca="false">IF($P$82=$P$81*($P$81-1)/2,SUM(M81:M83),"")</f>
        <v>1</v>
      </c>
      <c r="O84" s="48" t="s">
        <v>48</v>
      </c>
      <c r="P84" s="37" t="n">
        <f aca="false">IF(ISNUMBER(P83),(P83-$P$81)/($P$81-1),"")</f>
        <v>0</v>
      </c>
    </row>
    <row r="85" customFormat="false" ht="15" hidden="false" customHeight="false" outlineLevel="0" collapsed="false">
      <c r="A85" s="50"/>
      <c r="B85" s="51" t="s">
        <v>236</v>
      </c>
      <c r="C85" s="53" t="n">
        <f aca="false">M81</f>
        <v>0.5</v>
      </c>
      <c r="D85" s="53" t="n">
        <f aca="false">M82</f>
        <v>0.25</v>
      </c>
      <c r="E85" s="53" t="n">
        <f aca="false">M83</f>
        <v>0.25</v>
      </c>
      <c r="O85" s="48" t="s">
        <v>232</v>
      </c>
      <c r="P85" s="30" t="n">
        <f aca="false">INDEX(راهنما!$C$29:$C$38,MATCH($P$81,راهنما!$B$29:$B$38,0))</f>
        <v>0.58</v>
      </c>
    </row>
    <row r="86" customFormat="false" ht="15" hidden="false" customHeight="false" outlineLevel="0" collapsed="false">
      <c r="O86" s="48" t="s">
        <v>50</v>
      </c>
      <c r="P86" s="41" t="n">
        <f aca="false">IF(ISNUMBER(P84),IF(P85=0,0,MAX(0,P84)/P85),"")</f>
        <v>0</v>
      </c>
    </row>
    <row r="87" customFormat="false" ht="15" hidden="false" customHeight="false" outlineLevel="0" collapsed="false">
      <c r="O87" s="48" t="s">
        <v>83</v>
      </c>
      <c r="P87" s="10" t="str">
        <f aca="false">IF(NOT($P$82=$P$81*($P$81-1)/2),"ناقص",IF(P86&lt;=$P$3,"سازگار","ناسازگار"))</f>
        <v>سازگار</v>
      </c>
    </row>
    <row r="88" customFormat="false" ht="15" hidden="false" customHeight="false" outlineLevel="0" collapsed="false">
      <c r="O88" s="48" t="s">
        <v>233</v>
      </c>
      <c r="P88" s="30" t="n">
        <f aca="false">IF(COUNT(AA81:AA83)=0,"",MAX(AA81:AA83))</f>
        <v>1</v>
      </c>
    </row>
    <row r="89" customFormat="false" ht="15" hidden="false" customHeight="false" outlineLevel="0" collapsed="false">
      <c r="O89" s="48" t="s">
        <v>234</v>
      </c>
      <c r="P89" s="19" t="str">
        <f aca="false">IF(ISNUMBER(P88),INDEX(A81:A83,MATCH(P88,AA81:AA83,0))&amp;" و "&amp;INDEX(C80:E80,MATCH(P88,INDEX(R81:T83,MATCH(P88,AA81:AA83,0),0),0)),"")</f>
        <v>گ۱۹ و گ۲۰</v>
      </c>
    </row>
    <row r="91" customFormat="false" ht="15" hidden="false" customHeight="false" outlineLevel="0" collapsed="false">
      <c r="A91" s="45" t="s">
        <v>243</v>
      </c>
      <c r="B91" s="45"/>
      <c r="C91" s="45"/>
      <c r="D91" s="45"/>
      <c r="E91" s="45"/>
      <c r="F91" s="45"/>
      <c r="G91" s="45"/>
      <c r="H91" s="45"/>
      <c r="I91" s="45"/>
      <c r="J91" s="45"/>
      <c r="K91" s="45"/>
      <c r="L91" s="45"/>
      <c r="M91" s="45"/>
      <c r="Q91" s="46" t="s">
        <v>224</v>
      </c>
      <c r="R91" s="46"/>
      <c r="S91" s="46"/>
      <c r="T91" s="46"/>
      <c r="U91" s="46"/>
      <c r="V91" s="46"/>
      <c r="W91" s="46"/>
      <c r="X91" s="46"/>
      <c r="Y91" s="46"/>
      <c r="Z91" s="46"/>
      <c r="AA91" s="46"/>
    </row>
    <row r="92" customFormat="false" ht="27.75" hidden="false" customHeight="true" outlineLevel="0" collapsed="false">
      <c r="A92" s="8" t="s">
        <v>199</v>
      </c>
      <c r="B92" s="8" t="s">
        <v>225</v>
      </c>
      <c r="C92" s="8" t="s">
        <v>159</v>
      </c>
      <c r="D92" s="8" t="s">
        <v>161</v>
      </c>
      <c r="E92" s="8" t="s">
        <v>163</v>
      </c>
      <c r="L92" s="7" t="s">
        <v>226</v>
      </c>
      <c r="M92" s="8" t="s">
        <v>227</v>
      </c>
      <c r="Q92" s="8" t="s">
        <v>199</v>
      </c>
      <c r="R92" s="8" t="s">
        <v>159</v>
      </c>
      <c r="S92" s="8" t="s">
        <v>161</v>
      </c>
      <c r="T92" s="8" t="s">
        <v>163</v>
      </c>
      <c r="AA92" s="47" t="s">
        <v>228</v>
      </c>
    </row>
    <row r="93" customFormat="false" ht="27" hidden="false" customHeight="true" outlineLevel="0" collapsed="false">
      <c r="A93" s="19" t="s">
        <v>159</v>
      </c>
      <c r="B93" s="9" t="s">
        <v>160</v>
      </c>
      <c r="C93" s="31" t="n">
        <v>1</v>
      </c>
      <c r="D93" s="31" t="n">
        <f aca="false">نسبت!G72</f>
        <v>1</v>
      </c>
      <c r="E93" s="31" t="n">
        <f aca="false">نسبت!G73</f>
        <v>2</v>
      </c>
      <c r="L93" s="37" t="n">
        <f aca="false">IF($P$94=$P$93*($P$93-1)/2,GEOMEAN(C93:E93),"")</f>
        <v>1.25992104989487</v>
      </c>
      <c r="M93" s="36" t="n">
        <f aca="false">IF($P$94=$P$93*($P$93-1)/2,L93/SUM($L$93:$L$95),"")</f>
        <v>0.4</v>
      </c>
      <c r="O93" s="48" t="s">
        <v>229</v>
      </c>
      <c r="P93" s="11" t="n">
        <f aca="false">ROWS(A93:A95)</f>
        <v>3</v>
      </c>
      <c r="Q93" s="8" t="s">
        <v>159</v>
      </c>
      <c r="S93" s="30" t="n">
        <f aca="false">IF(AND(ISNUMBER(D93),ISNUMBER($M93),ISNUMBER($M94)),MAX(D93*$M94/$M93,$M93/(D93*$M94)),"")</f>
        <v>1</v>
      </c>
      <c r="T93" s="30" t="n">
        <f aca="false">IF(AND(ISNUMBER(E93),ISNUMBER($M93),ISNUMBER($M95)),MAX(E93*$M95/$M93,$M93/(E93*$M95)),"")</f>
        <v>1</v>
      </c>
      <c r="AA93" s="49" t="n">
        <f aca="false">IF(COUNT(R93:T93)=0,"",MAX(R93:T93))</f>
        <v>1</v>
      </c>
    </row>
    <row r="94" customFormat="false" ht="27" hidden="false" customHeight="true" outlineLevel="0" collapsed="false">
      <c r="A94" s="19" t="s">
        <v>161</v>
      </c>
      <c r="B94" s="9" t="s">
        <v>162</v>
      </c>
      <c r="C94" s="31" t="n">
        <f aca="false">IF(ISNUMBER(D93),1/D93,"")</f>
        <v>1</v>
      </c>
      <c r="D94" s="31" t="n">
        <v>1</v>
      </c>
      <c r="E94" s="31" t="n">
        <f aca="false">نسبت!G74</f>
        <v>2</v>
      </c>
      <c r="L94" s="37" t="n">
        <f aca="false">IF($P$94=$P$93*($P$93-1)/2,GEOMEAN(C94:E94),"")</f>
        <v>1.25992104989487</v>
      </c>
      <c r="M94" s="36" t="n">
        <f aca="false">IF($P$94=$P$93*($P$93-1)/2,L94/SUM($L$93:$L$95),"")</f>
        <v>0.4</v>
      </c>
      <c r="O94" s="48" t="s">
        <v>230</v>
      </c>
      <c r="P94" s="11" t="n">
        <f aca="false">(COUNT(C93:E95)-$P$93)/2</f>
        <v>3</v>
      </c>
      <c r="Q94" s="8" t="s">
        <v>161</v>
      </c>
      <c r="T94" s="30" t="n">
        <f aca="false">IF(AND(ISNUMBER(E94),ISNUMBER($M94),ISNUMBER($M95)),MAX(E94*$M95/$M94,$M94/(E94*$M95)),"")</f>
        <v>1</v>
      </c>
      <c r="AA94" s="49" t="n">
        <f aca="false">IF(COUNT(R94:T94)=0,"",MAX(R94:T94))</f>
        <v>1</v>
      </c>
    </row>
    <row r="95" customFormat="false" ht="27" hidden="false" customHeight="true" outlineLevel="0" collapsed="false">
      <c r="A95" s="19" t="s">
        <v>163</v>
      </c>
      <c r="B95" s="9" t="s">
        <v>164</v>
      </c>
      <c r="C95" s="31" t="n">
        <f aca="false">IF(ISNUMBER(E93),1/E93,"")</f>
        <v>0.5</v>
      </c>
      <c r="D95" s="31" t="n">
        <f aca="false">IF(ISNUMBER(E94),1/E94,"")</f>
        <v>0.5</v>
      </c>
      <c r="E95" s="31" t="n">
        <v>1</v>
      </c>
      <c r="L95" s="37" t="n">
        <f aca="false">IF($P$94=$P$93*($P$93-1)/2,GEOMEAN(C95:E95),"")</f>
        <v>0.629960524947437</v>
      </c>
      <c r="M95" s="36" t="n">
        <f aca="false">IF($P$94=$P$93*($P$93-1)/2,L95/SUM($L$93:$L$95),"")</f>
        <v>0.2</v>
      </c>
      <c r="O95" s="48" t="s">
        <v>231</v>
      </c>
      <c r="P95" s="37" t="n">
        <f aca="false">IF($P$94=$P$93*($P$93-1)/2,SUMPRODUCT(C96:E96,C97:E97),"")</f>
        <v>3</v>
      </c>
      <c r="Q95" s="8" t="s">
        <v>163</v>
      </c>
    </row>
    <row r="96" customFormat="false" ht="15" hidden="false" customHeight="false" outlineLevel="0" collapsed="false">
      <c r="A96" s="50"/>
      <c r="B96" s="51" t="s">
        <v>235</v>
      </c>
      <c r="C96" s="52" t="n">
        <f aca="false">IF($P$94=$P$93*($P$93-1)/2,SUM(C93:C95),"")</f>
        <v>2.5</v>
      </c>
      <c r="D96" s="52" t="n">
        <f aca="false">IF($P$94=$P$93*($P$93-1)/2,SUM(D93:D95),"")</f>
        <v>2.5</v>
      </c>
      <c r="E96" s="52" t="n">
        <f aca="false">IF($P$94=$P$93*($P$93-1)/2,SUM(E93:E95),"")</f>
        <v>5</v>
      </c>
      <c r="M96" s="53" t="n">
        <f aca="false">IF($P$94=$P$93*($P$93-1)/2,SUM(M93:M95),"")</f>
        <v>1</v>
      </c>
      <c r="O96" s="48" t="s">
        <v>48</v>
      </c>
      <c r="P96" s="37" t="n">
        <f aca="false">IF(ISNUMBER(P95),(P95-$P$93)/($P$93-1),"")</f>
        <v>0</v>
      </c>
    </row>
    <row r="97" customFormat="false" ht="15" hidden="false" customHeight="false" outlineLevel="0" collapsed="false">
      <c r="A97" s="50"/>
      <c r="B97" s="51" t="s">
        <v>236</v>
      </c>
      <c r="C97" s="53" t="n">
        <f aca="false">M93</f>
        <v>0.4</v>
      </c>
      <c r="D97" s="53" t="n">
        <f aca="false">M94</f>
        <v>0.4</v>
      </c>
      <c r="E97" s="53" t="n">
        <f aca="false">M95</f>
        <v>0.2</v>
      </c>
      <c r="O97" s="48" t="s">
        <v>232</v>
      </c>
      <c r="P97" s="30" t="n">
        <f aca="false">INDEX(راهنما!$C$29:$C$38,MATCH($P$93,راهنما!$B$29:$B$38,0))</f>
        <v>0.58</v>
      </c>
    </row>
    <row r="98" customFormat="false" ht="15" hidden="false" customHeight="false" outlineLevel="0" collapsed="false">
      <c r="O98" s="48" t="s">
        <v>50</v>
      </c>
      <c r="P98" s="41" t="n">
        <f aca="false">IF(ISNUMBER(P96),IF(P97=0,0,MAX(0,P96)/P97),"")</f>
        <v>0</v>
      </c>
    </row>
    <row r="99" customFormat="false" ht="15" hidden="false" customHeight="false" outlineLevel="0" collapsed="false">
      <c r="O99" s="48" t="s">
        <v>83</v>
      </c>
      <c r="P99" s="10" t="str">
        <f aca="false">IF(NOT($P$94=$P$93*($P$93-1)/2),"ناقص",IF(P98&lt;=$P$3,"سازگار","ناسازگار"))</f>
        <v>سازگار</v>
      </c>
    </row>
    <row r="100" customFormat="false" ht="15" hidden="false" customHeight="false" outlineLevel="0" collapsed="false">
      <c r="O100" s="48" t="s">
        <v>233</v>
      </c>
      <c r="P100" s="30" t="n">
        <f aca="false">IF(COUNT(AA93:AA95)=0,"",MAX(AA93:AA95))</f>
        <v>1</v>
      </c>
    </row>
    <row r="101" customFormat="false" ht="15" hidden="false" customHeight="false" outlineLevel="0" collapsed="false">
      <c r="O101" s="48" t="s">
        <v>234</v>
      </c>
      <c r="P101" s="19" t="str">
        <f aca="false">IF(ISNUMBER(P100),INDEX(A93:A95,MATCH(P100,AA93:AA95,0))&amp;" و "&amp;INDEX(C92:E92,MATCH(P100,INDEX(R93:T95,MATCH(P100,AA93:AA95,0),0),0)),"")</f>
        <v>گ۲۲ و گ۲۳</v>
      </c>
    </row>
    <row r="103" customFormat="false" ht="15" hidden="false" customHeight="false" outlineLevel="0" collapsed="false">
      <c r="A103" s="45" t="s">
        <v>244</v>
      </c>
      <c r="B103" s="45"/>
      <c r="C103" s="45"/>
      <c r="D103" s="45"/>
      <c r="E103" s="45"/>
      <c r="F103" s="45"/>
      <c r="G103" s="45"/>
      <c r="H103" s="45"/>
      <c r="I103" s="45"/>
      <c r="J103" s="45"/>
      <c r="K103" s="45"/>
      <c r="L103" s="45"/>
      <c r="M103" s="45"/>
      <c r="Q103" s="46" t="s">
        <v>224</v>
      </c>
      <c r="R103" s="46"/>
      <c r="S103" s="46"/>
      <c r="T103" s="46"/>
      <c r="U103" s="46"/>
      <c r="V103" s="46"/>
      <c r="W103" s="46"/>
      <c r="X103" s="46"/>
      <c r="Y103" s="46"/>
      <c r="Z103" s="46"/>
      <c r="AA103" s="46"/>
    </row>
    <row r="104" customFormat="false" ht="27.75" hidden="false" customHeight="true" outlineLevel="0" collapsed="false">
      <c r="A104" s="8" t="s">
        <v>199</v>
      </c>
      <c r="B104" s="8" t="s">
        <v>225</v>
      </c>
      <c r="C104" s="8" t="s">
        <v>165</v>
      </c>
      <c r="D104" s="8" t="s">
        <v>167</v>
      </c>
      <c r="E104" s="8" t="s">
        <v>169</v>
      </c>
      <c r="L104" s="7" t="s">
        <v>226</v>
      </c>
      <c r="M104" s="8" t="s">
        <v>227</v>
      </c>
      <c r="Q104" s="8" t="s">
        <v>199</v>
      </c>
      <c r="R104" s="8" t="s">
        <v>165</v>
      </c>
      <c r="S104" s="8" t="s">
        <v>167</v>
      </c>
      <c r="T104" s="8" t="s">
        <v>169</v>
      </c>
      <c r="AA104" s="47" t="s">
        <v>228</v>
      </c>
    </row>
    <row r="105" customFormat="false" ht="27" hidden="false" customHeight="true" outlineLevel="0" collapsed="false">
      <c r="A105" s="19" t="s">
        <v>165</v>
      </c>
      <c r="B105" s="9" t="s">
        <v>166</v>
      </c>
      <c r="C105" s="31" t="n">
        <v>1</v>
      </c>
      <c r="D105" s="31" t="n">
        <f aca="false">نسبت!G75</f>
        <v>2</v>
      </c>
      <c r="E105" s="31" t="n">
        <f aca="false">نسبت!G76</f>
        <v>2</v>
      </c>
      <c r="L105" s="37" t="n">
        <f aca="false">IF($P$106=$P$105*($P$105-1)/2,GEOMEAN(C105:E105),"")</f>
        <v>1.5874010519682</v>
      </c>
      <c r="M105" s="36" t="n">
        <f aca="false">IF($P$106=$P$105*($P$105-1)/2,L105/SUM($L$105:$L$107),"")</f>
        <v>0.5</v>
      </c>
      <c r="O105" s="48" t="s">
        <v>229</v>
      </c>
      <c r="P105" s="11" t="n">
        <f aca="false">ROWS(A105:A107)</f>
        <v>3</v>
      </c>
      <c r="Q105" s="8" t="s">
        <v>165</v>
      </c>
      <c r="S105" s="30" t="n">
        <f aca="false">IF(AND(ISNUMBER(D105),ISNUMBER($M105),ISNUMBER($M106)),MAX(D105*$M106/$M105,$M105/(D105*$M106)),"")</f>
        <v>1</v>
      </c>
      <c r="T105" s="30" t="n">
        <f aca="false">IF(AND(ISNUMBER(E105),ISNUMBER($M105),ISNUMBER($M107)),MAX(E105*$M107/$M105,$M105/(E105*$M107)),"")</f>
        <v>1</v>
      </c>
      <c r="AA105" s="49" t="n">
        <f aca="false">IF(COUNT(R105:T105)=0,"",MAX(R105:T105))</f>
        <v>1</v>
      </c>
    </row>
    <row r="106" customFormat="false" ht="27" hidden="false" customHeight="true" outlineLevel="0" collapsed="false">
      <c r="A106" s="19" t="s">
        <v>167</v>
      </c>
      <c r="B106" s="9" t="s">
        <v>168</v>
      </c>
      <c r="C106" s="31" t="n">
        <f aca="false">IF(ISNUMBER(D105),1/D105,"")</f>
        <v>0.5</v>
      </c>
      <c r="D106" s="31" t="n">
        <v>1</v>
      </c>
      <c r="E106" s="31" t="n">
        <f aca="false">نسبت!G77</f>
        <v>1</v>
      </c>
      <c r="L106" s="37" t="n">
        <f aca="false">IF($P$106=$P$105*($P$105-1)/2,GEOMEAN(C106:E106),"")</f>
        <v>0.7937005259841</v>
      </c>
      <c r="M106" s="36" t="n">
        <f aca="false">IF($P$106=$P$105*($P$105-1)/2,L106/SUM($L$105:$L$107),"")</f>
        <v>0.25</v>
      </c>
      <c r="O106" s="48" t="s">
        <v>230</v>
      </c>
      <c r="P106" s="11" t="n">
        <f aca="false">(COUNT(C105:E107)-$P$105)/2</f>
        <v>3</v>
      </c>
      <c r="Q106" s="8" t="s">
        <v>167</v>
      </c>
      <c r="T106" s="30" t="n">
        <f aca="false">IF(AND(ISNUMBER(E106),ISNUMBER($M106),ISNUMBER($M107)),MAX(E106*$M107/$M106,$M106/(E106*$M107)),"")</f>
        <v>1</v>
      </c>
      <c r="AA106" s="49" t="n">
        <f aca="false">IF(COUNT(R106:T106)=0,"",MAX(R106:T106))</f>
        <v>1</v>
      </c>
    </row>
    <row r="107" customFormat="false" ht="27" hidden="false" customHeight="true" outlineLevel="0" collapsed="false">
      <c r="A107" s="19" t="s">
        <v>169</v>
      </c>
      <c r="B107" s="9" t="s">
        <v>170</v>
      </c>
      <c r="C107" s="31" t="n">
        <f aca="false">IF(ISNUMBER(E105),1/E105,"")</f>
        <v>0.5</v>
      </c>
      <c r="D107" s="31" t="n">
        <f aca="false">IF(ISNUMBER(E106),1/E106,"")</f>
        <v>1</v>
      </c>
      <c r="E107" s="31" t="n">
        <v>1</v>
      </c>
      <c r="L107" s="37" t="n">
        <f aca="false">IF($P$106=$P$105*($P$105-1)/2,GEOMEAN(C107:E107),"")</f>
        <v>0.7937005259841</v>
      </c>
      <c r="M107" s="36" t="n">
        <f aca="false">IF($P$106=$P$105*($P$105-1)/2,L107/SUM($L$105:$L$107),"")</f>
        <v>0.25</v>
      </c>
      <c r="O107" s="48" t="s">
        <v>231</v>
      </c>
      <c r="P107" s="37" t="n">
        <f aca="false">IF($P$106=$P$105*($P$105-1)/2,SUMPRODUCT(C108:E108,C109:E109),"")</f>
        <v>3</v>
      </c>
      <c r="Q107" s="8" t="s">
        <v>169</v>
      </c>
    </row>
    <row r="108" customFormat="false" ht="15" hidden="false" customHeight="false" outlineLevel="0" collapsed="false">
      <c r="A108" s="50"/>
      <c r="B108" s="51" t="s">
        <v>235</v>
      </c>
      <c r="C108" s="52" t="n">
        <f aca="false">IF($P$106=$P$105*($P$105-1)/2,SUM(C105:C107),"")</f>
        <v>2</v>
      </c>
      <c r="D108" s="52" t="n">
        <f aca="false">IF($P$106=$P$105*($P$105-1)/2,SUM(D105:D107),"")</f>
        <v>4</v>
      </c>
      <c r="E108" s="52" t="n">
        <f aca="false">IF($P$106=$P$105*($P$105-1)/2,SUM(E105:E107),"")</f>
        <v>4</v>
      </c>
      <c r="M108" s="53" t="n">
        <f aca="false">IF($P$106=$P$105*($P$105-1)/2,SUM(M105:M107),"")</f>
        <v>1</v>
      </c>
      <c r="O108" s="48" t="s">
        <v>48</v>
      </c>
      <c r="P108" s="37" t="n">
        <f aca="false">IF(ISNUMBER(P107),(P107-$P$105)/($P$105-1),"")</f>
        <v>0</v>
      </c>
    </row>
    <row r="109" customFormat="false" ht="15" hidden="false" customHeight="false" outlineLevel="0" collapsed="false">
      <c r="A109" s="50"/>
      <c r="B109" s="51" t="s">
        <v>236</v>
      </c>
      <c r="C109" s="53" t="n">
        <f aca="false">M105</f>
        <v>0.5</v>
      </c>
      <c r="D109" s="53" t="n">
        <f aca="false">M106</f>
        <v>0.25</v>
      </c>
      <c r="E109" s="53" t="n">
        <f aca="false">M107</f>
        <v>0.25</v>
      </c>
      <c r="O109" s="48" t="s">
        <v>232</v>
      </c>
      <c r="P109" s="30" t="n">
        <f aca="false">INDEX(راهنما!$C$29:$C$38,MATCH($P$105,راهنما!$B$29:$B$38,0))</f>
        <v>0.58</v>
      </c>
    </row>
    <row r="110" customFormat="false" ht="15" hidden="false" customHeight="false" outlineLevel="0" collapsed="false">
      <c r="O110" s="48" t="s">
        <v>50</v>
      </c>
      <c r="P110" s="41" t="n">
        <f aca="false">IF(ISNUMBER(P108),IF(P109=0,0,MAX(0,P108)/P109),"")</f>
        <v>0</v>
      </c>
    </row>
    <row r="111" customFormat="false" ht="15" hidden="false" customHeight="false" outlineLevel="0" collapsed="false">
      <c r="O111" s="48" t="s">
        <v>83</v>
      </c>
      <c r="P111" s="10" t="str">
        <f aca="false">IF(NOT($P$106=$P$105*($P$105-1)/2),"ناقص",IF(P110&lt;=$P$3,"سازگار","ناسازگار"))</f>
        <v>سازگار</v>
      </c>
    </row>
    <row r="112" customFormat="false" ht="15" hidden="false" customHeight="false" outlineLevel="0" collapsed="false">
      <c r="O112" s="48" t="s">
        <v>233</v>
      </c>
      <c r="P112" s="30" t="n">
        <f aca="false">IF(COUNT(AA105:AA107)=0,"",MAX(AA105:AA107))</f>
        <v>1</v>
      </c>
    </row>
    <row r="113" customFormat="false" ht="15" hidden="false" customHeight="false" outlineLevel="0" collapsed="false">
      <c r="O113" s="48" t="s">
        <v>234</v>
      </c>
      <c r="P113" s="19" t="str">
        <f aca="false">IF(ISNUMBER(P112),INDEX(A105:A107,MATCH(P112,AA105:AA107,0))&amp;" و "&amp;INDEX(C104:E104,MATCH(P112,INDEX(R105:T107,MATCH(P112,AA105:AA107,0),0),0)),"")</f>
        <v>گ۲۵ و گ۲۶</v>
      </c>
    </row>
    <row r="115" customFormat="false" ht="15" hidden="false" customHeight="false" outlineLevel="0" collapsed="false">
      <c r="A115" s="45" t="s">
        <v>245</v>
      </c>
      <c r="B115" s="45"/>
      <c r="C115" s="45"/>
      <c r="D115" s="45"/>
      <c r="E115" s="45"/>
      <c r="F115" s="45"/>
      <c r="G115" s="45"/>
      <c r="H115" s="45"/>
      <c r="I115" s="45"/>
      <c r="J115" s="45"/>
      <c r="K115" s="45"/>
      <c r="L115" s="45"/>
      <c r="M115" s="45"/>
      <c r="Q115" s="46" t="s">
        <v>224</v>
      </c>
      <c r="R115" s="46"/>
      <c r="S115" s="46"/>
      <c r="T115" s="46"/>
      <c r="U115" s="46"/>
      <c r="V115" s="46"/>
      <c r="W115" s="46"/>
      <c r="X115" s="46"/>
      <c r="Y115" s="46"/>
      <c r="Z115" s="46"/>
      <c r="AA115" s="46"/>
    </row>
    <row r="116" customFormat="false" ht="27.75" hidden="false" customHeight="true" outlineLevel="0" collapsed="false">
      <c r="A116" s="8" t="s">
        <v>199</v>
      </c>
      <c r="B116" s="8" t="s">
        <v>225</v>
      </c>
      <c r="C116" s="8" t="s">
        <v>171</v>
      </c>
      <c r="D116" s="8" t="s">
        <v>173</v>
      </c>
      <c r="L116" s="7" t="s">
        <v>226</v>
      </c>
      <c r="M116" s="8" t="s">
        <v>227</v>
      </c>
      <c r="Q116" s="8" t="s">
        <v>199</v>
      </c>
      <c r="R116" s="8" t="s">
        <v>171</v>
      </c>
      <c r="S116" s="8" t="s">
        <v>173</v>
      </c>
      <c r="AA116" s="47" t="s">
        <v>228</v>
      </c>
    </row>
    <row r="117" customFormat="false" ht="27" hidden="false" customHeight="true" outlineLevel="0" collapsed="false">
      <c r="A117" s="19" t="s">
        <v>171</v>
      </c>
      <c r="B117" s="9" t="s">
        <v>172</v>
      </c>
      <c r="C117" s="31" t="n">
        <v>1</v>
      </c>
      <c r="D117" s="31" t="n">
        <f aca="false">نسبت!G78</f>
        <v>2</v>
      </c>
      <c r="L117" s="37" t="n">
        <f aca="false">IF($P$118=$P$117*($P$117-1)/2,GEOMEAN(C117:D117),"")</f>
        <v>1.4142135623731</v>
      </c>
      <c r="M117" s="36" t="n">
        <f aca="false">IF($P$118=$P$117*($P$117-1)/2,L117/SUM($L$117:$L$118),"")</f>
        <v>0.666666666666667</v>
      </c>
      <c r="O117" s="48" t="s">
        <v>229</v>
      </c>
      <c r="P117" s="11" t="n">
        <f aca="false">ROWS(A117:A118)</f>
        <v>2</v>
      </c>
      <c r="Q117" s="8" t="s">
        <v>171</v>
      </c>
      <c r="S117" s="30" t="n">
        <f aca="false">IF(AND(ISNUMBER(D117),ISNUMBER($M117),ISNUMBER($M118)),MAX(D117*$M118/$M117,$M117/(D117*$M118)),"")</f>
        <v>1</v>
      </c>
      <c r="AA117" s="49" t="n">
        <f aca="false">IF(COUNT(R117:S117)=0,"",MAX(R117:S117))</f>
        <v>1</v>
      </c>
    </row>
    <row r="118" customFormat="false" ht="27" hidden="false" customHeight="true" outlineLevel="0" collapsed="false">
      <c r="A118" s="19" t="s">
        <v>173</v>
      </c>
      <c r="B118" s="9" t="s">
        <v>174</v>
      </c>
      <c r="C118" s="31" t="n">
        <f aca="false">IF(ISNUMBER(D117),1/D117,"")</f>
        <v>0.5</v>
      </c>
      <c r="D118" s="31" t="n">
        <v>1</v>
      </c>
      <c r="L118" s="37" t="n">
        <f aca="false">IF($P$118=$P$117*($P$117-1)/2,GEOMEAN(C118:D118),"")</f>
        <v>0.707106781186548</v>
      </c>
      <c r="M118" s="36" t="n">
        <f aca="false">IF($P$118=$P$117*($P$117-1)/2,L118/SUM($L$117:$L$118),"")</f>
        <v>0.333333333333333</v>
      </c>
      <c r="O118" s="48" t="s">
        <v>230</v>
      </c>
      <c r="P118" s="11" t="n">
        <f aca="false">(COUNT(C117:D118)-$P$117)/2</f>
        <v>1</v>
      </c>
      <c r="Q118" s="8" t="s">
        <v>173</v>
      </c>
    </row>
    <row r="119" customFormat="false" ht="15" hidden="false" customHeight="false" outlineLevel="0" collapsed="false">
      <c r="A119" s="50"/>
      <c r="B119" s="51" t="s">
        <v>235</v>
      </c>
      <c r="C119" s="52" t="n">
        <f aca="false">IF($P$118=$P$117*($P$117-1)/2,SUM(C117:C118),"")</f>
        <v>1.5</v>
      </c>
      <c r="D119" s="52" t="n">
        <f aca="false">IF($P$118=$P$117*($P$117-1)/2,SUM(D117:D118),"")</f>
        <v>3</v>
      </c>
      <c r="M119" s="53" t="n">
        <f aca="false">IF($P$118=$P$117*($P$117-1)/2,SUM(M117:M118),"")</f>
        <v>1</v>
      </c>
      <c r="O119" s="48" t="s">
        <v>231</v>
      </c>
      <c r="P119" s="37" t="n">
        <f aca="false">IF($P$118=$P$117*($P$117-1)/2,SUMPRODUCT(C119:D119,C120:D120),"")</f>
        <v>2</v>
      </c>
    </row>
    <row r="120" customFormat="false" ht="15" hidden="false" customHeight="false" outlineLevel="0" collapsed="false">
      <c r="A120" s="50"/>
      <c r="B120" s="51" t="s">
        <v>236</v>
      </c>
      <c r="C120" s="53" t="n">
        <f aca="false">M117</f>
        <v>0.666666666666667</v>
      </c>
      <c r="D120" s="53" t="n">
        <f aca="false">M118</f>
        <v>0.333333333333333</v>
      </c>
      <c r="O120" s="48" t="s">
        <v>48</v>
      </c>
      <c r="P120" s="37" t="n">
        <f aca="false">IF(ISNUMBER(P119),(P119-$P$117)/($P$117-1),"")</f>
        <v>0</v>
      </c>
    </row>
    <row r="121" customFormat="false" ht="15" hidden="false" customHeight="false" outlineLevel="0" collapsed="false">
      <c r="O121" s="48" t="s">
        <v>232</v>
      </c>
      <c r="P121" s="30" t="n">
        <f aca="false">INDEX(راهنما!$C$29:$C$38,MATCH($P$117,راهنما!$B$29:$B$38,0))</f>
        <v>0</v>
      </c>
    </row>
    <row r="122" customFormat="false" ht="15" hidden="false" customHeight="false" outlineLevel="0" collapsed="false">
      <c r="O122" s="48" t="s">
        <v>50</v>
      </c>
      <c r="P122" s="41" t="n">
        <f aca="false">IF(ISNUMBER(P120),IF(P121=0,0,MAX(0,P120)/P121),"")</f>
        <v>0</v>
      </c>
    </row>
    <row r="123" customFormat="false" ht="15" hidden="false" customHeight="false" outlineLevel="0" collapsed="false">
      <c r="O123" s="48" t="s">
        <v>83</v>
      </c>
      <c r="P123" s="10" t="str">
        <f aca="false">IF(NOT($P$118=$P$117*($P$117-1)/2),"ناقص",IF(P122&lt;=$P$3,"سازگار","ناسازگار"))</f>
        <v>سازگار</v>
      </c>
    </row>
    <row r="124" customFormat="false" ht="15" hidden="false" customHeight="false" outlineLevel="0" collapsed="false">
      <c r="O124" s="48" t="s">
        <v>233</v>
      </c>
      <c r="P124" s="30" t="n">
        <f aca="false">IF(COUNT(AA117:AA118)=0,"",MAX(AA117:AA118))</f>
        <v>1</v>
      </c>
    </row>
    <row r="125" customFormat="false" ht="15" hidden="false" customHeight="false" outlineLevel="0" collapsed="false">
      <c r="O125" s="48" t="s">
        <v>234</v>
      </c>
      <c r="P125" s="19" t="str">
        <f aca="false">IF(ISNUMBER(P124),INDEX(A117:A118,MATCH(P124,AA117:AA118,0))&amp;" و "&amp;INDEX(C116:D116,MATCH(P124,INDEX(R117:S118,MATCH(P124,AA117:AA118,0),0),0)),"")</f>
        <v>گ۲۸ و گ۲۹</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249</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2" t="s">
        <v>250</v>
      </c>
    </row>
    <row r="3" customFormat="false" ht="15" hidden="false" customHeight="false" outlineLevel="0" collapsed="false">
      <c r="A3" s="43" t="s">
        <v>248</v>
      </c>
      <c r="B3" s="54" t="n">
        <f aca="false">COUNT(ورودی!H9:H78)</f>
        <v>70</v>
      </c>
      <c r="O3" s="25" t="s">
        <v>177</v>
      </c>
      <c r="P3" s="30" t="n">
        <f aca="false">راهنما!$C$26</f>
        <v>0.1</v>
      </c>
    </row>
    <row r="5" customFormat="false" ht="15" hidden="false" customHeight="false" outlineLevel="0" collapsed="false">
      <c r="A5" s="45" t="s">
        <v>223</v>
      </c>
      <c r="B5" s="45"/>
      <c r="C5" s="45"/>
      <c r="D5" s="45"/>
      <c r="E5" s="45"/>
      <c r="F5" s="45"/>
      <c r="G5" s="45"/>
      <c r="H5" s="45"/>
      <c r="I5" s="45"/>
      <c r="J5" s="45"/>
      <c r="K5" s="45"/>
      <c r="L5" s="45"/>
      <c r="M5" s="45"/>
      <c r="Q5" s="46" t="s">
        <v>224</v>
      </c>
      <c r="R5" s="46"/>
      <c r="S5" s="46"/>
      <c r="T5" s="46"/>
      <c r="U5" s="46"/>
      <c r="V5" s="46"/>
      <c r="W5" s="46"/>
      <c r="X5" s="46"/>
      <c r="Y5" s="46"/>
      <c r="Z5" s="46"/>
      <c r="AA5" s="46"/>
    </row>
    <row r="6" customFormat="false" ht="27.75" hidden="false" customHeight="true" outlineLevel="0" collapsed="false">
      <c r="A6" s="8" t="s">
        <v>199</v>
      </c>
      <c r="B6" s="8" t="s">
        <v>225</v>
      </c>
      <c r="C6" s="8" t="s">
        <v>98</v>
      </c>
      <c r="D6" s="8" t="s">
        <v>100</v>
      </c>
      <c r="E6" s="8" t="s">
        <v>102</v>
      </c>
      <c r="F6" s="8" t="s">
        <v>104</v>
      </c>
      <c r="G6" s="8" t="s">
        <v>106</v>
      </c>
      <c r="H6" s="8" t="s">
        <v>108</v>
      </c>
      <c r="I6" s="8" t="s">
        <v>110</v>
      </c>
      <c r="J6" s="8" t="s">
        <v>112</v>
      </c>
      <c r="K6" s="8" t="s">
        <v>114</v>
      </c>
      <c r="L6" s="7" t="s">
        <v>226</v>
      </c>
      <c r="M6" s="8" t="s">
        <v>227</v>
      </c>
      <c r="Q6" s="8" t="s">
        <v>199</v>
      </c>
      <c r="R6" s="8" t="s">
        <v>98</v>
      </c>
      <c r="S6" s="8" t="s">
        <v>100</v>
      </c>
      <c r="T6" s="8" t="s">
        <v>102</v>
      </c>
      <c r="U6" s="8" t="s">
        <v>104</v>
      </c>
      <c r="V6" s="8" t="s">
        <v>106</v>
      </c>
      <c r="W6" s="8" t="s">
        <v>108</v>
      </c>
      <c r="X6" s="8" t="s">
        <v>110</v>
      </c>
      <c r="Y6" s="8" t="s">
        <v>112</v>
      </c>
      <c r="Z6" s="8" t="s">
        <v>114</v>
      </c>
      <c r="AA6" s="47" t="s">
        <v>228</v>
      </c>
    </row>
    <row r="7" customFormat="false" ht="27" hidden="false" customHeight="true" outlineLevel="0" collapsed="false">
      <c r="A7" s="19" t="s">
        <v>98</v>
      </c>
      <c r="B7" s="9" t="s">
        <v>99</v>
      </c>
      <c r="C7" s="31" t="n">
        <v>1</v>
      </c>
      <c r="D7" s="31" t="n">
        <f aca="false">نسبت!H9</f>
        <v>2</v>
      </c>
      <c r="E7" s="31" t="n">
        <f aca="false">نسبت!H10</f>
        <v>2</v>
      </c>
      <c r="F7" s="31" t="n">
        <f aca="false">نسبت!H11</f>
        <v>2</v>
      </c>
      <c r="G7" s="31" t="n">
        <f aca="false">نسبت!H12</f>
        <v>2</v>
      </c>
      <c r="H7" s="31" t="n">
        <f aca="false">نسبت!H13</f>
        <v>1</v>
      </c>
      <c r="I7" s="31" t="n">
        <f aca="false">نسبت!H14</f>
        <v>1</v>
      </c>
      <c r="J7" s="31" t="n">
        <f aca="false">نسبت!H15</f>
        <v>1</v>
      </c>
      <c r="K7" s="31" t="n">
        <f aca="false">نسبت!H16</f>
        <v>1</v>
      </c>
      <c r="L7" s="37" t="n">
        <f aca="false">IF($P$8=$P$7*($P$7-1)/2,GEOMEAN(C7:K7),"")</f>
        <v>1.36079000017438</v>
      </c>
      <c r="M7" s="36" t="n">
        <f aca="false">IF($P$8=$P$7*($P$7-1)/2,L7/SUM($L$7:$L$15),"")</f>
        <v>0.145327354841929</v>
      </c>
      <c r="O7" s="48" t="s">
        <v>229</v>
      </c>
      <c r="P7" s="11" t="n">
        <f aca="false">ROWS(A7:A15)</f>
        <v>9</v>
      </c>
      <c r="Q7" s="8" t="s">
        <v>98</v>
      </c>
      <c r="S7" s="30" t="n">
        <f aca="false">IF(AND(ISNUMBER(D7),ISNUMBER($M7),ISNUMBER($M8)),MAX(D7*$M8/$M7,$M7/(D7*$M8)),"")</f>
        <v>1</v>
      </c>
      <c r="T7" s="30" t="n">
        <f aca="false">IF(AND(ISNUMBER(E7),ISNUMBER($M7),ISNUMBER($M9)),MAX(E7*$M9/$M7,$M7/(E7*$M9)),"")</f>
        <v>1.16652903957612</v>
      </c>
      <c r="U7" s="30" t="n">
        <f aca="false">IF(AND(ISNUMBER(F7),ISNUMBER($M7),ISNUMBER($M10)),MAX(F7*$M10/$M7,$M7/(F7*$M10)),"")</f>
        <v>1</v>
      </c>
      <c r="V7" s="30" t="n">
        <f aca="false">IF(AND(ISNUMBER(G7),ISNUMBER($M7),ISNUMBER($M11)),MAX(G7*$M11/$M7,$M7/(G7*$M11)),"")</f>
        <v>1.16652903957612</v>
      </c>
      <c r="W7" s="30" t="n">
        <f aca="false">IF(AND(ISNUMBER(H7),ISNUMBER($M7),ISNUMBER($M12)),MAX(H7*$M12/$M7,$M7/(H7*$M12)),"")</f>
        <v>1.16652903957612</v>
      </c>
      <c r="X7" s="30" t="n">
        <f aca="false">IF(AND(ISNUMBER(I7),ISNUMBER($M7),ISNUMBER($M13)),MAX(I7*$M13/$M7,$M7/(I7*$M13)),"")</f>
        <v>1</v>
      </c>
      <c r="Y7" s="30" t="n">
        <f aca="false">IF(AND(ISNUMBER(J7),ISNUMBER($M7),ISNUMBER($M14)),MAX(J7*$M14/$M7,$M7/(J7*$M14)),"")</f>
        <v>1.16652903957612</v>
      </c>
      <c r="Z7" s="30" t="n">
        <f aca="false">IF(AND(ISNUMBER(K7),ISNUMBER($M7),ISNUMBER($M15)),MAX(K7*$M15/$M7,$M7/(K7*$M15)),"")</f>
        <v>1</v>
      </c>
      <c r="AA7" s="49" t="n">
        <f aca="false">IF(COUNT(R7:Z7)=0,"",MAX(R7:Z7))</f>
        <v>1.16652903957612</v>
      </c>
    </row>
    <row r="8" customFormat="false" ht="27" hidden="false" customHeight="true" outlineLevel="0" collapsed="false">
      <c r="A8" s="19" t="s">
        <v>100</v>
      </c>
      <c r="B8" s="9" t="s">
        <v>101</v>
      </c>
      <c r="C8" s="31" t="n">
        <f aca="false">IF(ISNUMBER(D7),1/D7,"")</f>
        <v>0.5</v>
      </c>
      <c r="D8" s="31" t="n">
        <v>1</v>
      </c>
      <c r="E8" s="31" t="n">
        <f aca="false">نسبت!H17</f>
        <v>1</v>
      </c>
      <c r="F8" s="31" t="n">
        <f aca="false">نسبت!H18</f>
        <v>1</v>
      </c>
      <c r="G8" s="31" t="n">
        <f aca="false">نسبت!H19</f>
        <v>1</v>
      </c>
      <c r="H8" s="31" t="n">
        <f aca="false">نسبت!H20</f>
        <v>0.5</v>
      </c>
      <c r="I8" s="31" t="n">
        <f aca="false">نسبت!H21</f>
        <v>0.5</v>
      </c>
      <c r="J8" s="31" t="n">
        <f aca="false">نسبت!H22</f>
        <v>0.5</v>
      </c>
      <c r="K8" s="31" t="n">
        <f aca="false">نسبت!H23</f>
        <v>0.5</v>
      </c>
      <c r="L8" s="37" t="n">
        <f aca="false">IF($P$8=$P$7*($P$7-1)/2,GEOMEAN(C8:K8),"")</f>
        <v>0.680395000087189</v>
      </c>
      <c r="M8" s="36" t="n">
        <f aca="false">IF($P$8=$P$7*($P$7-1)/2,L8/SUM($L$7:$L$15),"")</f>
        <v>0.0726636774209643</v>
      </c>
      <c r="O8" s="48" t="s">
        <v>230</v>
      </c>
      <c r="P8" s="11" t="n">
        <f aca="false">(COUNT(C7:K15)-$P$7)/2</f>
        <v>36</v>
      </c>
      <c r="Q8" s="8" t="s">
        <v>100</v>
      </c>
      <c r="T8" s="30" t="n">
        <f aca="false">IF(AND(ISNUMBER(E8),ISNUMBER($M8),ISNUMBER($M9)),MAX(E8*$M9/$M8,$M8/(E8*$M9)),"")</f>
        <v>1.16652903957612</v>
      </c>
      <c r="U8" s="30" t="n">
        <f aca="false">IF(AND(ISNUMBER(F8),ISNUMBER($M8),ISNUMBER($M10)),MAX(F8*$M10/$M8,$M8/(F8*$M10)),"")</f>
        <v>1</v>
      </c>
      <c r="V8" s="30" t="n">
        <f aca="false">IF(AND(ISNUMBER(G8),ISNUMBER($M8),ISNUMBER($M11)),MAX(G8*$M11/$M8,$M8/(G8*$M11)),"")</f>
        <v>1.16652903957612</v>
      </c>
      <c r="W8" s="30" t="n">
        <f aca="false">IF(AND(ISNUMBER(H8),ISNUMBER($M8),ISNUMBER($M12)),MAX(H8*$M12/$M8,$M8/(H8*$M12)),"")</f>
        <v>1.16652903957612</v>
      </c>
      <c r="X8" s="30" t="n">
        <f aca="false">IF(AND(ISNUMBER(I8),ISNUMBER($M8),ISNUMBER($M13)),MAX(I8*$M13/$M8,$M8/(I8*$M13)),"")</f>
        <v>1</v>
      </c>
      <c r="Y8" s="30" t="n">
        <f aca="false">IF(AND(ISNUMBER(J8),ISNUMBER($M8),ISNUMBER($M14)),MAX(J8*$M14/$M8,$M8/(J8*$M14)),"")</f>
        <v>1.16652903957612</v>
      </c>
      <c r="Z8" s="30" t="n">
        <f aca="false">IF(AND(ISNUMBER(K8),ISNUMBER($M8),ISNUMBER($M15)),MAX(K8*$M15/$M8,$M8/(K8*$M15)),"")</f>
        <v>1</v>
      </c>
      <c r="AA8" s="49" t="n">
        <f aca="false">IF(COUNT(R8:Z8)=0,"",MAX(R8:Z8))</f>
        <v>1.16652903957612</v>
      </c>
    </row>
    <row r="9" customFormat="false" ht="27" hidden="false" customHeight="true" outlineLevel="0" collapsed="false">
      <c r="A9" s="19" t="s">
        <v>102</v>
      </c>
      <c r="B9" s="9" t="s">
        <v>103</v>
      </c>
      <c r="C9" s="31" t="n">
        <f aca="false">IF(ISNUMBER(E7),1/E7,"")</f>
        <v>0.5</v>
      </c>
      <c r="D9" s="31" t="n">
        <f aca="false">IF(ISNUMBER(E8),1/E8,"")</f>
        <v>1</v>
      </c>
      <c r="E9" s="31" t="n">
        <v>1</v>
      </c>
      <c r="F9" s="31" t="n">
        <f aca="false">نسبت!H24</f>
        <v>1</v>
      </c>
      <c r="G9" s="31" t="n">
        <f aca="false">نسبت!H25</f>
        <v>1</v>
      </c>
      <c r="H9" s="31" t="n">
        <f aca="false">نسبت!H26</f>
        <v>1</v>
      </c>
      <c r="I9" s="31" t="n">
        <f aca="false">نسبت!H27</f>
        <v>0.5</v>
      </c>
      <c r="J9" s="31" t="n">
        <f aca="false">نسبت!H28</f>
        <v>1</v>
      </c>
      <c r="K9" s="31" t="n">
        <f aca="false">نسبت!H29</f>
        <v>0.5</v>
      </c>
      <c r="L9" s="37" t="n">
        <f aca="false">IF($P$8=$P$7*($P$7-1)/2,GEOMEAN(C9:K9),"")</f>
        <v>0.7937005259841</v>
      </c>
      <c r="M9" s="36" t="n">
        <f aca="false">IF($P$8=$P$7*($P$7-1)/2,L9/SUM($L$7:$L$15),"")</f>
        <v>0.0847642898339462</v>
      </c>
      <c r="O9" s="48" t="s">
        <v>231</v>
      </c>
      <c r="P9" s="37" t="n">
        <f aca="false">IF($P$8=$P$7*($P$7-1)/2,SUMPRODUCT(C16:K16,C17:K17),"")</f>
        <v>9.11409638319736</v>
      </c>
      <c r="Q9" s="8" t="s">
        <v>102</v>
      </c>
      <c r="U9" s="30" t="n">
        <f aca="false">IF(AND(ISNUMBER(F9),ISNUMBER($M9),ISNUMBER($M10)),MAX(F9*$M10/$M9,$M9/(F9*$M10)),"")</f>
        <v>1.16652903957612</v>
      </c>
      <c r="V9" s="30" t="n">
        <f aca="false">IF(AND(ISNUMBER(G9),ISNUMBER($M9),ISNUMBER($M11)),MAX(G9*$M11/$M9,$M9/(G9*$M11)),"")</f>
        <v>1</v>
      </c>
      <c r="W9" s="30" t="n">
        <f aca="false">IF(AND(ISNUMBER(H9),ISNUMBER($M9),ISNUMBER($M12)),MAX(H9*$M12/$M9,$M9/(H9*$M12)),"")</f>
        <v>1.4697344922756</v>
      </c>
      <c r="X9" s="30" t="n">
        <f aca="false">IF(AND(ISNUMBER(I9),ISNUMBER($M9),ISNUMBER($M13)),MAX(I9*$M13/$M9,$M9/(I9*$M13)),"")</f>
        <v>1.16652903957612</v>
      </c>
      <c r="Y9" s="30" t="n">
        <f aca="false">IF(AND(ISNUMBER(J9),ISNUMBER($M9),ISNUMBER($M14)),MAX(J9*$M14/$M9,$M9/(J9*$M14)),"")</f>
        <v>1.4697344922756</v>
      </c>
      <c r="Z9" s="30" t="n">
        <f aca="false">IF(AND(ISNUMBER(K9),ISNUMBER($M9),ISNUMBER($M15)),MAX(K9*$M15/$M9,$M9/(K9*$M15)),"")</f>
        <v>1.16652903957612</v>
      </c>
      <c r="AA9" s="49" t="n">
        <f aca="false">IF(COUNT(R9:Z9)=0,"",MAX(R9:Z9))</f>
        <v>1.4697344922756</v>
      </c>
    </row>
    <row r="10" customFormat="false" ht="27" hidden="false" customHeight="true" outlineLevel="0" collapsed="false">
      <c r="A10" s="19" t="s">
        <v>104</v>
      </c>
      <c r="B10" s="9" t="s">
        <v>105</v>
      </c>
      <c r="C10" s="31" t="n">
        <f aca="false">IF(ISNUMBER(F7),1/F7,"")</f>
        <v>0.5</v>
      </c>
      <c r="D10" s="31" t="n">
        <f aca="false">IF(ISNUMBER(F8),1/F8,"")</f>
        <v>1</v>
      </c>
      <c r="E10" s="31" t="n">
        <f aca="false">IF(ISNUMBER(F9),1/F9,"")</f>
        <v>1</v>
      </c>
      <c r="F10" s="31" t="n">
        <v>1</v>
      </c>
      <c r="G10" s="31" t="n">
        <f aca="false">نسبت!H30</f>
        <v>1</v>
      </c>
      <c r="H10" s="31" t="n">
        <f aca="false">نسبت!H31</f>
        <v>0.5</v>
      </c>
      <c r="I10" s="31" t="n">
        <f aca="false">نسبت!H32</f>
        <v>0.5</v>
      </c>
      <c r="J10" s="31" t="n">
        <f aca="false">نسبت!H33</f>
        <v>0.5</v>
      </c>
      <c r="K10" s="31" t="n">
        <f aca="false">نسبت!H34</f>
        <v>0.5</v>
      </c>
      <c r="L10" s="37" t="n">
        <f aca="false">IF($P$8=$P$7*($P$7-1)/2,GEOMEAN(C10:K10),"")</f>
        <v>0.680395000087189</v>
      </c>
      <c r="M10" s="36" t="n">
        <f aca="false">IF($P$8=$P$7*($P$7-1)/2,L10/SUM($L$7:$L$15),"")</f>
        <v>0.0726636774209643</v>
      </c>
      <c r="O10" s="48" t="s">
        <v>48</v>
      </c>
      <c r="P10" s="37" t="n">
        <f aca="false">IF(ISNUMBER(P9),(P9-$P$7)/($P$7-1),"")</f>
        <v>0.0142620478996693</v>
      </c>
      <c r="Q10" s="8" t="s">
        <v>104</v>
      </c>
      <c r="V10" s="30" t="n">
        <f aca="false">IF(AND(ISNUMBER(G10),ISNUMBER($M10),ISNUMBER($M11)),MAX(G10*$M11/$M10,$M10/(G10*$M11)),"")</f>
        <v>1.16652903957612</v>
      </c>
      <c r="W10" s="30" t="n">
        <f aca="false">IF(AND(ISNUMBER(H10),ISNUMBER($M10),ISNUMBER($M12)),MAX(H10*$M12/$M10,$M10/(H10*$M12)),"")</f>
        <v>1.16652903957612</v>
      </c>
      <c r="X10" s="30" t="n">
        <f aca="false">IF(AND(ISNUMBER(I10),ISNUMBER($M10),ISNUMBER($M13)),MAX(I10*$M13/$M10,$M10/(I10*$M13)),"")</f>
        <v>1</v>
      </c>
      <c r="Y10" s="30" t="n">
        <f aca="false">IF(AND(ISNUMBER(J10),ISNUMBER($M10),ISNUMBER($M14)),MAX(J10*$M14/$M10,$M10/(J10*$M14)),"")</f>
        <v>1.16652903957612</v>
      </c>
      <c r="Z10" s="30" t="n">
        <f aca="false">IF(AND(ISNUMBER(K10),ISNUMBER($M10),ISNUMBER($M15)),MAX(K10*$M15/$M10,$M10/(K10*$M15)),"")</f>
        <v>1</v>
      </c>
      <c r="AA10" s="49" t="n">
        <f aca="false">IF(COUNT(R10:Z10)=0,"",MAX(R10:Z10))</f>
        <v>1.16652903957612</v>
      </c>
    </row>
    <row r="11" customFormat="false" ht="27" hidden="false" customHeight="true" outlineLevel="0" collapsed="false">
      <c r="A11" s="19" t="s">
        <v>106</v>
      </c>
      <c r="B11" s="9" t="s">
        <v>107</v>
      </c>
      <c r="C11" s="31" t="n">
        <f aca="false">IF(ISNUMBER(G7),1/G7,"")</f>
        <v>0.5</v>
      </c>
      <c r="D11" s="31" t="n">
        <f aca="false">IF(ISNUMBER(G8),1/G8,"")</f>
        <v>1</v>
      </c>
      <c r="E11" s="31" t="n">
        <f aca="false">IF(ISNUMBER(G9),1/G9,"")</f>
        <v>1</v>
      </c>
      <c r="F11" s="31" t="n">
        <f aca="false">IF(ISNUMBER(G10),1/G10,"")</f>
        <v>1</v>
      </c>
      <c r="G11" s="31" t="n">
        <v>1</v>
      </c>
      <c r="H11" s="31" t="n">
        <f aca="false">نسبت!H35</f>
        <v>1</v>
      </c>
      <c r="I11" s="31" t="n">
        <f aca="false">نسبت!H36</f>
        <v>0.5</v>
      </c>
      <c r="J11" s="31" t="n">
        <f aca="false">نسبت!H37</f>
        <v>1</v>
      </c>
      <c r="K11" s="31" t="n">
        <f aca="false">نسبت!H38</f>
        <v>0.5</v>
      </c>
      <c r="L11" s="37" t="n">
        <f aca="false">IF($P$8=$P$7*($P$7-1)/2,GEOMEAN(C11:K11),"")</f>
        <v>0.7937005259841</v>
      </c>
      <c r="M11" s="36" t="n">
        <f aca="false">IF($P$8=$P$7*($P$7-1)/2,L11/SUM($L$7:$L$15),"")</f>
        <v>0.0847642898339462</v>
      </c>
      <c r="O11" s="48" t="s">
        <v>232</v>
      </c>
      <c r="P11" s="30" t="n">
        <f aca="false">INDEX(راهنما!$C$29:$C$38,MATCH($P$7,راهنما!$B$29:$B$38,0))</f>
        <v>1.45</v>
      </c>
      <c r="Q11" s="8" t="s">
        <v>106</v>
      </c>
      <c r="W11" s="30" t="n">
        <f aca="false">IF(AND(ISNUMBER(H11),ISNUMBER($M11),ISNUMBER($M12)),MAX(H11*$M12/$M11,$M11/(H11*$M12)),"")</f>
        <v>1.4697344922756</v>
      </c>
      <c r="X11" s="30" t="n">
        <f aca="false">IF(AND(ISNUMBER(I11),ISNUMBER($M11),ISNUMBER($M13)),MAX(I11*$M13/$M11,$M11/(I11*$M13)),"")</f>
        <v>1.16652903957612</v>
      </c>
      <c r="Y11" s="30" t="n">
        <f aca="false">IF(AND(ISNUMBER(J11),ISNUMBER($M11),ISNUMBER($M14)),MAX(J11*$M14/$M11,$M11/(J11*$M14)),"")</f>
        <v>1.4697344922756</v>
      </c>
      <c r="Z11" s="30" t="n">
        <f aca="false">IF(AND(ISNUMBER(K11),ISNUMBER($M11),ISNUMBER($M15)),MAX(K11*$M15/$M11,$M11/(K11*$M15)),"")</f>
        <v>1.16652903957612</v>
      </c>
      <c r="AA11" s="49" t="n">
        <f aca="false">IF(COUNT(R11:Z11)=0,"",MAX(R11:Z11))</f>
        <v>1.4697344922756</v>
      </c>
    </row>
    <row r="12" customFormat="false" ht="27" hidden="false" customHeight="true" outlineLevel="0" collapsed="false">
      <c r="A12" s="19" t="s">
        <v>108</v>
      </c>
      <c r="B12" s="9" t="s">
        <v>109</v>
      </c>
      <c r="C12" s="31" t="n">
        <f aca="false">IF(ISNUMBER(H7),1/H7,"")</f>
        <v>1</v>
      </c>
      <c r="D12" s="31" t="n">
        <f aca="false">IF(ISNUMBER(H8),1/H8,"")</f>
        <v>2</v>
      </c>
      <c r="E12" s="31" t="n">
        <f aca="false">IF(ISNUMBER(H9),1/H9,"")</f>
        <v>1</v>
      </c>
      <c r="F12" s="31" t="n">
        <f aca="false">IF(ISNUMBER(H10),1/H10,"")</f>
        <v>2</v>
      </c>
      <c r="G12" s="31" t="n">
        <f aca="false">IF(ISNUMBER(H11),1/H11,"")</f>
        <v>1</v>
      </c>
      <c r="H12" s="31" t="n">
        <v>1</v>
      </c>
      <c r="I12" s="31" t="n">
        <f aca="false">نسبت!H39</f>
        <v>1</v>
      </c>
      <c r="J12" s="31" t="n">
        <f aca="false">نسبت!H40</f>
        <v>1</v>
      </c>
      <c r="K12" s="31" t="n">
        <f aca="false">نسبت!H41</f>
        <v>1</v>
      </c>
      <c r="L12" s="37" t="n">
        <f aca="false">IF($P$8=$P$7*($P$7-1)/2,GEOMEAN(C12:K12),"")</f>
        <v>1.16652903957612</v>
      </c>
      <c r="M12" s="36" t="n">
        <f aca="false">IF($P$8=$P$7*($P$7-1)/2,L12/SUM($L$7:$L$15),"")</f>
        <v>0.124581000482197</v>
      </c>
      <c r="O12" s="48" t="s">
        <v>50</v>
      </c>
      <c r="P12" s="41" t="n">
        <f aca="false">IF(ISNUMBER(P10),IF(P11=0,0,MAX(0,P10)/P11),"")</f>
        <v>0.00983589510322023</v>
      </c>
      <c r="Q12" s="8" t="s">
        <v>108</v>
      </c>
      <c r="X12" s="30" t="n">
        <f aca="false">IF(AND(ISNUMBER(I12),ISNUMBER($M12),ISNUMBER($M13)),MAX(I12*$M13/$M12,$M12/(I12*$M13)),"")</f>
        <v>1.16652903957612</v>
      </c>
      <c r="Y12" s="30" t="n">
        <f aca="false">IF(AND(ISNUMBER(J12),ISNUMBER($M12),ISNUMBER($M14)),MAX(J12*$M14/$M12,$M12/(J12*$M14)),"")</f>
        <v>1</v>
      </c>
      <c r="Z12" s="30" t="n">
        <f aca="false">IF(AND(ISNUMBER(K12),ISNUMBER($M12),ISNUMBER($M15)),MAX(K12*$M15/$M12,$M12/(K12*$M15)),"")</f>
        <v>1.16652903957612</v>
      </c>
      <c r="AA12" s="49" t="n">
        <f aca="false">IF(COUNT(R12:Z12)=0,"",MAX(R12:Z12))</f>
        <v>1.16652903957612</v>
      </c>
    </row>
    <row r="13" customFormat="false" ht="27" hidden="false" customHeight="true" outlineLevel="0" collapsed="false">
      <c r="A13" s="19" t="s">
        <v>110</v>
      </c>
      <c r="B13" s="9" t="s">
        <v>111</v>
      </c>
      <c r="C13" s="31" t="n">
        <f aca="false">IF(ISNUMBER(I7),1/I7,"")</f>
        <v>1</v>
      </c>
      <c r="D13" s="31" t="n">
        <f aca="false">IF(ISNUMBER(I8),1/I8,"")</f>
        <v>2</v>
      </c>
      <c r="E13" s="31" t="n">
        <f aca="false">IF(ISNUMBER(I9),1/I9,"")</f>
        <v>2</v>
      </c>
      <c r="F13" s="31" t="n">
        <f aca="false">IF(ISNUMBER(I10),1/I10,"")</f>
        <v>2</v>
      </c>
      <c r="G13" s="31" t="n">
        <f aca="false">IF(ISNUMBER(I11),1/I11,"")</f>
        <v>2</v>
      </c>
      <c r="H13" s="31" t="n">
        <f aca="false">IF(ISNUMBER(I12),1/I12,"")</f>
        <v>1</v>
      </c>
      <c r="I13" s="31" t="n">
        <v>1</v>
      </c>
      <c r="J13" s="31" t="n">
        <f aca="false">نسبت!H42</f>
        <v>1</v>
      </c>
      <c r="K13" s="31" t="n">
        <f aca="false">نسبت!H43</f>
        <v>1</v>
      </c>
      <c r="L13" s="37" t="n">
        <f aca="false">IF($P$8=$P$7*($P$7-1)/2,GEOMEAN(C13:K13),"")</f>
        <v>1.36079000017438</v>
      </c>
      <c r="M13" s="36" t="n">
        <f aca="false">IF($P$8=$P$7*($P$7-1)/2,L13/SUM($L$7:$L$15),"")</f>
        <v>0.145327354841929</v>
      </c>
      <c r="O13" s="48" t="s">
        <v>83</v>
      </c>
      <c r="P13" s="10" t="str">
        <f aca="false">IF(NOT($P$8=$P$7*($P$7-1)/2),"ناقص",IF(P12&lt;=$P$3,"سازگار","ناسازگار"))</f>
        <v>سازگار</v>
      </c>
      <c r="Q13" s="8" t="s">
        <v>110</v>
      </c>
      <c r="Y13" s="30" t="n">
        <f aca="false">IF(AND(ISNUMBER(J13),ISNUMBER($M13),ISNUMBER($M14)),MAX(J13*$M14/$M13,$M13/(J13*$M14)),"")</f>
        <v>1.16652903957612</v>
      </c>
      <c r="Z13" s="30" t="n">
        <f aca="false">IF(AND(ISNUMBER(K13),ISNUMBER($M13),ISNUMBER($M15)),MAX(K13*$M15/$M13,$M13/(K13*$M15)),"")</f>
        <v>1</v>
      </c>
      <c r="AA13" s="49" t="n">
        <f aca="false">IF(COUNT(R13:Z13)=0,"",MAX(R13:Z13))</f>
        <v>1.16652903957612</v>
      </c>
    </row>
    <row r="14" customFormat="false" ht="27" hidden="false" customHeight="true" outlineLevel="0" collapsed="false">
      <c r="A14" s="19" t="s">
        <v>112</v>
      </c>
      <c r="B14" s="9" t="s">
        <v>113</v>
      </c>
      <c r="C14" s="31" t="n">
        <f aca="false">IF(ISNUMBER(J7),1/J7,"")</f>
        <v>1</v>
      </c>
      <c r="D14" s="31" t="n">
        <f aca="false">IF(ISNUMBER(J8),1/J8,"")</f>
        <v>2</v>
      </c>
      <c r="E14" s="31" t="n">
        <f aca="false">IF(ISNUMBER(J9),1/J9,"")</f>
        <v>1</v>
      </c>
      <c r="F14" s="31" t="n">
        <f aca="false">IF(ISNUMBER(J10),1/J10,"")</f>
        <v>2</v>
      </c>
      <c r="G14" s="31" t="n">
        <f aca="false">IF(ISNUMBER(J11),1/J11,"")</f>
        <v>1</v>
      </c>
      <c r="H14" s="31" t="n">
        <f aca="false">IF(ISNUMBER(J12),1/J12,"")</f>
        <v>1</v>
      </c>
      <c r="I14" s="31" t="n">
        <f aca="false">IF(ISNUMBER(J13),1/J13,"")</f>
        <v>1</v>
      </c>
      <c r="J14" s="31" t="n">
        <v>1</v>
      </c>
      <c r="K14" s="31" t="n">
        <f aca="false">نسبت!H44</f>
        <v>1</v>
      </c>
      <c r="L14" s="37" t="n">
        <f aca="false">IF($P$8=$P$7*($P$7-1)/2,GEOMEAN(C14:K14),"")</f>
        <v>1.16652903957612</v>
      </c>
      <c r="M14" s="36" t="n">
        <f aca="false">IF($P$8=$P$7*($P$7-1)/2,L14/SUM($L$7:$L$15),"")</f>
        <v>0.124581000482197</v>
      </c>
      <c r="O14" s="48" t="s">
        <v>233</v>
      </c>
      <c r="P14" s="30" t="n">
        <f aca="false">IF(COUNT(AA7:AA15)=0,"",MAX(AA7:AA15))</f>
        <v>1.4697344922756</v>
      </c>
      <c r="Q14" s="8" t="s">
        <v>112</v>
      </c>
      <c r="Z14" s="30" t="n">
        <f aca="false">IF(AND(ISNUMBER(K14),ISNUMBER($M14),ISNUMBER($M15)),MAX(K14*$M15/$M14,$M14/(K14*$M15)),"")</f>
        <v>1.16652903957612</v>
      </c>
      <c r="AA14" s="49" t="n">
        <f aca="false">IF(COUNT(R14:Z14)=0,"",MAX(R14:Z14))</f>
        <v>1.16652903957612</v>
      </c>
    </row>
    <row r="15" customFormat="false" ht="27" hidden="false" customHeight="true" outlineLevel="0" collapsed="false">
      <c r="A15" s="19" t="s">
        <v>114</v>
      </c>
      <c r="B15" s="9" t="s">
        <v>115</v>
      </c>
      <c r="C15" s="31" t="n">
        <f aca="false">IF(ISNUMBER(K7),1/K7,"")</f>
        <v>1</v>
      </c>
      <c r="D15" s="31" t="n">
        <f aca="false">IF(ISNUMBER(K8),1/K8,"")</f>
        <v>2</v>
      </c>
      <c r="E15" s="31" t="n">
        <f aca="false">IF(ISNUMBER(K9),1/K9,"")</f>
        <v>2</v>
      </c>
      <c r="F15" s="31" t="n">
        <f aca="false">IF(ISNUMBER(K10),1/K10,"")</f>
        <v>2</v>
      </c>
      <c r="G15" s="31" t="n">
        <f aca="false">IF(ISNUMBER(K11),1/K11,"")</f>
        <v>2</v>
      </c>
      <c r="H15" s="31" t="n">
        <f aca="false">IF(ISNUMBER(K12),1/K12,"")</f>
        <v>1</v>
      </c>
      <c r="I15" s="31" t="n">
        <f aca="false">IF(ISNUMBER(K13),1/K13,"")</f>
        <v>1</v>
      </c>
      <c r="J15" s="31" t="n">
        <f aca="false">IF(ISNUMBER(K14),1/K14,"")</f>
        <v>1</v>
      </c>
      <c r="K15" s="31" t="n">
        <v>1</v>
      </c>
      <c r="L15" s="37" t="n">
        <f aca="false">IF($P$8=$P$7*($P$7-1)/2,GEOMEAN(C15:K15),"")</f>
        <v>1.36079000017438</v>
      </c>
      <c r="M15" s="36" t="n">
        <f aca="false">IF($P$8=$P$7*($P$7-1)/2,L15/SUM($L$7:$L$15),"")</f>
        <v>0.145327354841929</v>
      </c>
      <c r="O15" s="48" t="s">
        <v>234</v>
      </c>
      <c r="P15" s="19" t="str">
        <f aca="false">IF(ISNUMBER(P14),INDEX(A7:A15,MATCH(P14,AA7:AA15,0))&amp;" و "&amp;INDEX(C6:K6,MATCH(P14,INDEX(R7:Z15,MATCH(P14,AA7:AA15,0),0),0)),"")</f>
        <v>م۳ و م۶</v>
      </c>
      <c r="Q15" s="8" t="s">
        <v>114</v>
      </c>
    </row>
    <row r="16" customFormat="false" ht="15" hidden="false" customHeight="false" outlineLevel="0" collapsed="false">
      <c r="A16" s="50"/>
      <c r="B16" s="51" t="s">
        <v>235</v>
      </c>
      <c r="C16" s="52" t="n">
        <f aca="false">IF($P$8=$P$7*($P$7-1)/2,SUM(C7:C15),"")</f>
        <v>7</v>
      </c>
      <c r="D16" s="52" t="n">
        <f aca="false">IF($P$8=$P$7*($P$7-1)/2,SUM(D7:D15),"")</f>
        <v>14</v>
      </c>
      <c r="E16" s="52" t="n">
        <f aca="false">IF($P$8=$P$7*($P$7-1)/2,SUM(E7:E15),"")</f>
        <v>12</v>
      </c>
      <c r="F16" s="52" t="n">
        <f aca="false">IF($P$8=$P$7*($P$7-1)/2,SUM(F7:F15),"")</f>
        <v>14</v>
      </c>
      <c r="G16" s="52" t="n">
        <f aca="false">IF($P$8=$P$7*($P$7-1)/2,SUM(G7:G15),"")</f>
        <v>12</v>
      </c>
      <c r="H16" s="52" t="n">
        <f aca="false">IF($P$8=$P$7*($P$7-1)/2,SUM(H7:H15),"")</f>
        <v>8</v>
      </c>
      <c r="I16" s="52" t="n">
        <f aca="false">IF($P$8=$P$7*($P$7-1)/2,SUM(I7:I15),"")</f>
        <v>7</v>
      </c>
      <c r="J16" s="52" t="n">
        <f aca="false">IF($P$8=$P$7*($P$7-1)/2,SUM(J7:J15),"")</f>
        <v>8</v>
      </c>
      <c r="K16" s="52" t="n">
        <f aca="false">IF($P$8=$P$7*($P$7-1)/2,SUM(K7:K15),"")</f>
        <v>7</v>
      </c>
      <c r="M16" s="53" t="n">
        <f aca="false">IF($P$8=$P$7*($P$7-1)/2,SUM(M7:M15),"")</f>
        <v>1</v>
      </c>
    </row>
    <row r="17" customFormat="false" ht="15" hidden="false" customHeight="false" outlineLevel="0" collapsed="false">
      <c r="A17" s="50"/>
      <c r="B17" s="51" t="s">
        <v>236</v>
      </c>
      <c r="C17" s="53" t="n">
        <f aca="false">M7</f>
        <v>0.145327354841929</v>
      </c>
      <c r="D17" s="53" t="n">
        <f aca="false">M8</f>
        <v>0.0726636774209643</v>
      </c>
      <c r="E17" s="53" t="n">
        <f aca="false">M9</f>
        <v>0.0847642898339462</v>
      </c>
      <c r="F17" s="53" t="n">
        <f aca="false">M10</f>
        <v>0.0726636774209643</v>
      </c>
      <c r="G17" s="53" t="n">
        <f aca="false">M11</f>
        <v>0.0847642898339462</v>
      </c>
      <c r="H17" s="53" t="n">
        <f aca="false">M12</f>
        <v>0.124581000482197</v>
      </c>
      <c r="I17" s="53" t="n">
        <f aca="false">M13</f>
        <v>0.145327354841929</v>
      </c>
      <c r="J17" s="53" t="n">
        <f aca="false">M14</f>
        <v>0.124581000482197</v>
      </c>
      <c r="K17" s="53" t="n">
        <f aca="false">M15</f>
        <v>0.145327354841929</v>
      </c>
    </row>
    <row r="19" customFormat="false" ht="15" hidden="false" customHeight="false" outlineLevel="0" collapsed="false">
      <c r="A19" s="45" t="s">
        <v>237</v>
      </c>
      <c r="B19" s="45"/>
      <c r="C19" s="45"/>
      <c r="D19" s="45"/>
      <c r="E19" s="45"/>
      <c r="F19" s="45"/>
      <c r="G19" s="45"/>
      <c r="H19" s="45"/>
      <c r="I19" s="45"/>
      <c r="J19" s="45"/>
      <c r="K19" s="45"/>
      <c r="L19" s="45"/>
      <c r="M19" s="45"/>
      <c r="Q19" s="46" t="s">
        <v>224</v>
      </c>
      <c r="R19" s="46"/>
      <c r="S19" s="46"/>
      <c r="T19" s="46"/>
      <c r="U19" s="46"/>
      <c r="V19" s="46"/>
      <c r="W19" s="46"/>
      <c r="X19" s="46"/>
      <c r="Y19" s="46"/>
      <c r="Z19" s="46"/>
      <c r="AA19" s="46"/>
    </row>
    <row r="20" customFormat="false" ht="27.75" hidden="false" customHeight="true" outlineLevel="0" collapsed="false">
      <c r="A20" s="8" t="s">
        <v>199</v>
      </c>
      <c r="B20" s="8" t="s">
        <v>225</v>
      </c>
      <c r="C20" s="8" t="s">
        <v>117</v>
      </c>
      <c r="D20" s="8" t="s">
        <v>119</v>
      </c>
      <c r="E20" s="8" t="s">
        <v>121</v>
      </c>
      <c r="L20" s="7" t="s">
        <v>226</v>
      </c>
      <c r="M20" s="8" t="s">
        <v>227</v>
      </c>
      <c r="Q20" s="8" t="s">
        <v>199</v>
      </c>
      <c r="R20" s="8" t="s">
        <v>117</v>
      </c>
      <c r="S20" s="8" t="s">
        <v>119</v>
      </c>
      <c r="T20" s="8" t="s">
        <v>121</v>
      </c>
      <c r="AA20" s="47" t="s">
        <v>228</v>
      </c>
    </row>
    <row r="21" customFormat="false" ht="27" hidden="false" customHeight="true" outlineLevel="0" collapsed="false">
      <c r="A21" s="19" t="s">
        <v>117</v>
      </c>
      <c r="B21" s="9" t="s">
        <v>118</v>
      </c>
      <c r="C21" s="31" t="n">
        <v>1</v>
      </c>
      <c r="D21" s="31" t="n">
        <f aca="false">نسبت!H45</f>
        <v>1</v>
      </c>
      <c r="E21" s="31" t="n">
        <f aca="false">نسبت!H46</f>
        <v>2</v>
      </c>
      <c r="L21" s="37" t="n">
        <f aca="false">IF($P$22=$P$21*($P$21-1)/2,GEOMEAN(C21:E21),"")</f>
        <v>1.25992104989487</v>
      </c>
      <c r="M21" s="36" t="n">
        <f aca="false">IF($P$22=$P$21*($P$21-1)/2,L21/SUM($L$21:$L$23),"")</f>
        <v>0.4</v>
      </c>
      <c r="O21" s="48" t="s">
        <v>229</v>
      </c>
      <c r="P21" s="11" t="n">
        <f aca="false">ROWS(A21:A23)</f>
        <v>3</v>
      </c>
      <c r="Q21" s="8" t="s">
        <v>117</v>
      </c>
      <c r="S21" s="30" t="n">
        <f aca="false">IF(AND(ISNUMBER(D21),ISNUMBER($M21),ISNUMBER($M22)),MAX(D21*$M22/$M21,$M21/(D21*$M22)),"")</f>
        <v>1</v>
      </c>
      <c r="T21" s="30" t="n">
        <f aca="false">IF(AND(ISNUMBER(E21),ISNUMBER($M21),ISNUMBER($M23)),MAX(E21*$M23/$M21,$M21/(E21*$M23)),"")</f>
        <v>1</v>
      </c>
      <c r="AA21" s="49" t="n">
        <f aca="false">IF(COUNT(R21:T21)=0,"",MAX(R21:T21))</f>
        <v>1</v>
      </c>
    </row>
    <row r="22" customFormat="false" ht="27" hidden="false" customHeight="true" outlineLevel="0" collapsed="false">
      <c r="A22" s="19" t="s">
        <v>119</v>
      </c>
      <c r="B22" s="9" t="s">
        <v>120</v>
      </c>
      <c r="C22" s="31" t="n">
        <f aca="false">IF(ISNUMBER(D21),1/D21,"")</f>
        <v>1</v>
      </c>
      <c r="D22" s="31" t="n">
        <v>1</v>
      </c>
      <c r="E22" s="31" t="n">
        <f aca="false">نسبت!H47</f>
        <v>2</v>
      </c>
      <c r="L22" s="37" t="n">
        <f aca="false">IF($P$22=$P$21*($P$21-1)/2,GEOMEAN(C22:E22),"")</f>
        <v>1.25992104989487</v>
      </c>
      <c r="M22" s="36" t="n">
        <f aca="false">IF($P$22=$P$21*($P$21-1)/2,L22/SUM($L$21:$L$23),"")</f>
        <v>0.4</v>
      </c>
      <c r="O22" s="48" t="s">
        <v>230</v>
      </c>
      <c r="P22" s="11" t="n">
        <f aca="false">(COUNT(C21:E23)-$P$21)/2</f>
        <v>3</v>
      </c>
      <c r="Q22" s="8" t="s">
        <v>119</v>
      </c>
      <c r="T22" s="30" t="n">
        <f aca="false">IF(AND(ISNUMBER(E22),ISNUMBER($M22),ISNUMBER($M23)),MAX(E22*$M23/$M22,$M22/(E22*$M23)),"")</f>
        <v>1</v>
      </c>
      <c r="AA22" s="49" t="n">
        <f aca="false">IF(COUNT(R22:T22)=0,"",MAX(R22:T22))</f>
        <v>1</v>
      </c>
    </row>
    <row r="23" customFormat="false" ht="27" hidden="false" customHeight="true" outlineLevel="0" collapsed="false">
      <c r="A23" s="19" t="s">
        <v>121</v>
      </c>
      <c r="B23" s="9" t="s">
        <v>122</v>
      </c>
      <c r="C23" s="31" t="n">
        <f aca="false">IF(ISNUMBER(E21),1/E21,"")</f>
        <v>0.5</v>
      </c>
      <c r="D23" s="31" t="n">
        <f aca="false">IF(ISNUMBER(E22),1/E22,"")</f>
        <v>0.5</v>
      </c>
      <c r="E23" s="31" t="n">
        <v>1</v>
      </c>
      <c r="L23" s="37" t="n">
        <f aca="false">IF($P$22=$P$21*($P$21-1)/2,GEOMEAN(C23:E23),"")</f>
        <v>0.629960524947437</v>
      </c>
      <c r="M23" s="36" t="n">
        <f aca="false">IF($P$22=$P$21*($P$21-1)/2,L23/SUM($L$21:$L$23),"")</f>
        <v>0.2</v>
      </c>
      <c r="O23" s="48" t="s">
        <v>231</v>
      </c>
      <c r="P23" s="37" t="n">
        <f aca="false">IF($P$22=$P$21*($P$21-1)/2,SUMPRODUCT(C24:E24,C25:E25),"")</f>
        <v>3</v>
      </c>
      <c r="Q23" s="8" t="s">
        <v>121</v>
      </c>
    </row>
    <row r="24" customFormat="false" ht="15" hidden="false" customHeight="false" outlineLevel="0" collapsed="false">
      <c r="A24" s="50"/>
      <c r="B24" s="51" t="s">
        <v>235</v>
      </c>
      <c r="C24" s="52" t="n">
        <f aca="false">IF($P$22=$P$21*($P$21-1)/2,SUM(C21:C23),"")</f>
        <v>2.5</v>
      </c>
      <c r="D24" s="52" t="n">
        <f aca="false">IF($P$22=$P$21*($P$21-1)/2,SUM(D21:D23),"")</f>
        <v>2.5</v>
      </c>
      <c r="E24" s="52" t="n">
        <f aca="false">IF($P$22=$P$21*($P$21-1)/2,SUM(E21:E23),"")</f>
        <v>5</v>
      </c>
      <c r="M24" s="53" t="n">
        <f aca="false">IF($P$22=$P$21*($P$21-1)/2,SUM(M21:M23),"")</f>
        <v>1</v>
      </c>
      <c r="O24" s="48" t="s">
        <v>48</v>
      </c>
      <c r="P24" s="37" t="n">
        <f aca="false">IF(ISNUMBER(P23),(P23-$P$21)/($P$21-1),"")</f>
        <v>0</v>
      </c>
    </row>
    <row r="25" customFormat="false" ht="15" hidden="false" customHeight="false" outlineLevel="0" collapsed="false">
      <c r="A25" s="50"/>
      <c r="B25" s="51" t="s">
        <v>236</v>
      </c>
      <c r="C25" s="53" t="n">
        <f aca="false">M21</f>
        <v>0.4</v>
      </c>
      <c r="D25" s="53" t="n">
        <f aca="false">M22</f>
        <v>0.4</v>
      </c>
      <c r="E25" s="53" t="n">
        <f aca="false">M23</f>
        <v>0.2</v>
      </c>
      <c r="O25" s="48" t="s">
        <v>232</v>
      </c>
      <c r="P25" s="30" t="n">
        <f aca="false">INDEX(راهنما!$C$29:$C$38,MATCH($P$21,راهنما!$B$29:$B$38,0))</f>
        <v>0.58</v>
      </c>
    </row>
    <row r="26" customFormat="false" ht="15" hidden="false" customHeight="false" outlineLevel="0" collapsed="false">
      <c r="O26" s="48" t="s">
        <v>50</v>
      </c>
      <c r="P26" s="41" t="n">
        <f aca="false">IF(ISNUMBER(P24),IF(P25=0,0,MAX(0,P24)/P25),"")</f>
        <v>0</v>
      </c>
    </row>
    <row r="27" customFormat="false" ht="15" hidden="false" customHeight="false" outlineLevel="0" collapsed="false">
      <c r="O27" s="48" t="s">
        <v>83</v>
      </c>
      <c r="P27" s="10" t="str">
        <f aca="false">IF(NOT($P$22=$P$21*($P$21-1)/2),"ناقص",IF(P26&lt;=$P$3,"سازگار","ناسازگار"))</f>
        <v>سازگار</v>
      </c>
    </row>
    <row r="28" customFormat="false" ht="15" hidden="false" customHeight="false" outlineLevel="0" collapsed="false">
      <c r="O28" s="48" t="s">
        <v>233</v>
      </c>
      <c r="P28" s="30" t="n">
        <f aca="false">IF(COUNT(AA21:AA23)=0,"",MAX(AA21:AA23))</f>
        <v>1</v>
      </c>
    </row>
    <row r="29" customFormat="false" ht="15" hidden="false" customHeight="false" outlineLevel="0" collapsed="false">
      <c r="O29" s="48" t="s">
        <v>234</v>
      </c>
      <c r="P29" s="19" t="str">
        <f aca="false">IF(ISNUMBER(P28),INDEX(A21:A23,MATCH(P28,AA21:AA23,0))&amp;" و "&amp;INDEX(C20:E20,MATCH(P28,INDEX(R21:T23,MATCH(P28,AA21:AA23,0),0),0)),"")</f>
        <v>گ۱ و گ۲</v>
      </c>
    </row>
    <row r="31" customFormat="false" ht="15" hidden="false" customHeight="false" outlineLevel="0" collapsed="false">
      <c r="A31" s="45" t="s">
        <v>238</v>
      </c>
      <c r="B31" s="45"/>
      <c r="C31" s="45"/>
      <c r="D31" s="45"/>
      <c r="E31" s="45"/>
      <c r="F31" s="45"/>
      <c r="G31" s="45"/>
      <c r="H31" s="45"/>
      <c r="I31" s="45"/>
      <c r="J31" s="45"/>
      <c r="K31" s="45"/>
      <c r="L31" s="45"/>
      <c r="M31" s="45"/>
      <c r="Q31" s="46" t="s">
        <v>224</v>
      </c>
      <c r="R31" s="46"/>
      <c r="S31" s="46"/>
      <c r="T31" s="46"/>
      <c r="U31" s="46"/>
      <c r="V31" s="46"/>
      <c r="W31" s="46"/>
      <c r="X31" s="46"/>
      <c r="Y31" s="46"/>
      <c r="Z31" s="46"/>
      <c r="AA31" s="46"/>
    </row>
    <row r="32" customFormat="false" ht="27.75" hidden="false" customHeight="true" outlineLevel="0" collapsed="false">
      <c r="A32" s="8" t="s">
        <v>199</v>
      </c>
      <c r="B32" s="8" t="s">
        <v>225</v>
      </c>
      <c r="C32" s="8" t="s">
        <v>123</v>
      </c>
      <c r="D32" s="8" t="s">
        <v>125</v>
      </c>
      <c r="E32" s="8" t="s">
        <v>127</v>
      </c>
      <c r="F32" s="8" t="s">
        <v>129</v>
      </c>
      <c r="L32" s="7" t="s">
        <v>226</v>
      </c>
      <c r="M32" s="8" t="s">
        <v>227</v>
      </c>
      <c r="Q32" s="8" t="s">
        <v>199</v>
      </c>
      <c r="R32" s="8" t="s">
        <v>123</v>
      </c>
      <c r="S32" s="8" t="s">
        <v>125</v>
      </c>
      <c r="T32" s="8" t="s">
        <v>127</v>
      </c>
      <c r="U32" s="8" t="s">
        <v>129</v>
      </c>
      <c r="AA32" s="47" t="s">
        <v>228</v>
      </c>
    </row>
    <row r="33" customFormat="false" ht="27" hidden="false" customHeight="true" outlineLevel="0" collapsed="false">
      <c r="A33" s="19" t="s">
        <v>123</v>
      </c>
      <c r="B33" s="9" t="s">
        <v>124</v>
      </c>
      <c r="C33" s="31" t="n">
        <v>1</v>
      </c>
      <c r="D33" s="31" t="n">
        <f aca="false">نسبت!H48</f>
        <v>1</v>
      </c>
      <c r="E33" s="31" t="n">
        <f aca="false">نسبت!H49</f>
        <v>2</v>
      </c>
      <c r="F33" s="31" t="n">
        <f aca="false">نسبت!H50</f>
        <v>1</v>
      </c>
      <c r="L33" s="37" t="n">
        <f aca="false">IF($P$34=$P$33*($P$33-1)/2,GEOMEAN(C33:F33),"")</f>
        <v>1.18920711500272</v>
      </c>
      <c r="M33" s="36" t="n">
        <f aca="false">IF($P$34=$P$33*($P$33-1)/2,L33/SUM($L$33:$L$36),"")</f>
        <v>0.285714285714286</v>
      </c>
      <c r="O33" s="48" t="s">
        <v>229</v>
      </c>
      <c r="P33" s="11" t="n">
        <f aca="false">ROWS(A33:A36)</f>
        <v>4</v>
      </c>
      <c r="Q33" s="8" t="s">
        <v>123</v>
      </c>
      <c r="S33" s="30" t="n">
        <f aca="false">IF(AND(ISNUMBER(D33),ISNUMBER($M33),ISNUMBER($M34)),MAX(D33*$M34/$M33,$M33/(D33*$M34)),"")</f>
        <v>1</v>
      </c>
      <c r="T33" s="30" t="n">
        <f aca="false">IF(AND(ISNUMBER(E33),ISNUMBER($M33),ISNUMBER($M35)),MAX(E33*$M35/$M33,$M33/(E33*$M35)),"")</f>
        <v>1</v>
      </c>
      <c r="U33" s="30" t="n">
        <f aca="false">IF(AND(ISNUMBER(F33),ISNUMBER($M33),ISNUMBER($M36)),MAX(F33*$M36/$M33,$M33/(F33*$M36)),"")</f>
        <v>1</v>
      </c>
      <c r="AA33" s="49" t="n">
        <f aca="false">IF(COUNT(R33:U33)=0,"",MAX(R33:U33))</f>
        <v>1</v>
      </c>
    </row>
    <row r="34" customFormat="false" ht="27" hidden="false" customHeight="true" outlineLevel="0" collapsed="false">
      <c r="A34" s="19" t="s">
        <v>125</v>
      </c>
      <c r="B34" s="9" t="s">
        <v>126</v>
      </c>
      <c r="C34" s="31" t="n">
        <f aca="false">IF(ISNUMBER(D33),1/D33,"")</f>
        <v>1</v>
      </c>
      <c r="D34" s="31" t="n">
        <v>1</v>
      </c>
      <c r="E34" s="31" t="n">
        <f aca="false">نسبت!H51</f>
        <v>2</v>
      </c>
      <c r="F34" s="31" t="n">
        <f aca="false">نسبت!H52</f>
        <v>1</v>
      </c>
      <c r="L34" s="37" t="n">
        <f aca="false">IF($P$34=$P$33*($P$33-1)/2,GEOMEAN(C34:F34),"")</f>
        <v>1.18920711500272</v>
      </c>
      <c r="M34" s="36" t="n">
        <f aca="false">IF($P$34=$P$33*($P$33-1)/2,L34/SUM($L$33:$L$36),"")</f>
        <v>0.285714285714286</v>
      </c>
      <c r="O34" s="48" t="s">
        <v>230</v>
      </c>
      <c r="P34" s="11" t="n">
        <f aca="false">(COUNT(C33:F36)-$P$33)/2</f>
        <v>6</v>
      </c>
      <c r="Q34" s="8" t="s">
        <v>125</v>
      </c>
      <c r="T34" s="30" t="n">
        <f aca="false">IF(AND(ISNUMBER(E34),ISNUMBER($M34),ISNUMBER($M35)),MAX(E34*$M35/$M34,$M34/(E34*$M35)),"")</f>
        <v>1</v>
      </c>
      <c r="U34" s="30" t="n">
        <f aca="false">IF(AND(ISNUMBER(F34),ISNUMBER($M34),ISNUMBER($M36)),MAX(F34*$M36/$M34,$M34/(F34*$M36)),"")</f>
        <v>1</v>
      </c>
      <c r="AA34" s="49" t="n">
        <f aca="false">IF(COUNT(R34:U34)=0,"",MAX(R34:U34))</f>
        <v>1</v>
      </c>
    </row>
    <row r="35" customFormat="false" ht="27" hidden="false" customHeight="true" outlineLevel="0" collapsed="false">
      <c r="A35" s="19" t="s">
        <v>127</v>
      </c>
      <c r="B35" s="9" t="s">
        <v>128</v>
      </c>
      <c r="C35" s="31" t="n">
        <f aca="false">IF(ISNUMBER(E33),1/E33,"")</f>
        <v>0.5</v>
      </c>
      <c r="D35" s="31" t="n">
        <f aca="false">IF(ISNUMBER(E34),1/E34,"")</f>
        <v>0.5</v>
      </c>
      <c r="E35" s="31" t="n">
        <v>1</v>
      </c>
      <c r="F35" s="31" t="n">
        <f aca="false">نسبت!H53</f>
        <v>0.5</v>
      </c>
      <c r="L35" s="37" t="n">
        <f aca="false">IF($P$34=$P$33*($P$33-1)/2,GEOMEAN(C35:F35),"")</f>
        <v>0.594603557501361</v>
      </c>
      <c r="M35" s="36" t="n">
        <f aca="false">IF($P$34=$P$33*($P$33-1)/2,L35/SUM($L$33:$L$36),"")</f>
        <v>0.142857142857143</v>
      </c>
      <c r="O35" s="48" t="s">
        <v>231</v>
      </c>
      <c r="P35" s="37" t="n">
        <f aca="false">IF($P$34=$P$33*($P$33-1)/2,SUMPRODUCT(C37:F37,C38:F38),"")</f>
        <v>4</v>
      </c>
      <c r="Q35" s="8" t="s">
        <v>127</v>
      </c>
      <c r="U35" s="30" t="n">
        <f aca="false">IF(AND(ISNUMBER(F35),ISNUMBER($M35),ISNUMBER($M36)),MAX(F35*$M36/$M35,$M35/(F35*$M36)),"")</f>
        <v>1</v>
      </c>
      <c r="AA35" s="49" t="n">
        <f aca="false">IF(COUNT(R35:U35)=0,"",MAX(R35:U35))</f>
        <v>1</v>
      </c>
    </row>
    <row r="36" customFormat="false" ht="27" hidden="false" customHeight="true" outlineLevel="0" collapsed="false">
      <c r="A36" s="19" t="s">
        <v>129</v>
      </c>
      <c r="B36" s="9" t="s">
        <v>130</v>
      </c>
      <c r="C36" s="31" t="n">
        <f aca="false">IF(ISNUMBER(F33),1/F33,"")</f>
        <v>1</v>
      </c>
      <c r="D36" s="31" t="n">
        <f aca="false">IF(ISNUMBER(F34),1/F34,"")</f>
        <v>1</v>
      </c>
      <c r="E36" s="31" t="n">
        <f aca="false">IF(ISNUMBER(F35),1/F35,"")</f>
        <v>2</v>
      </c>
      <c r="F36" s="31" t="n">
        <v>1</v>
      </c>
      <c r="L36" s="37" t="n">
        <f aca="false">IF($P$34=$P$33*($P$33-1)/2,GEOMEAN(C36:F36),"")</f>
        <v>1.18920711500272</v>
      </c>
      <c r="M36" s="36" t="n">
        <f aca="false">IF($P$34=$P$33*($P$33-1)/2,L36/SUM($L$33:$L$36),"")</f>
        <v>0.285714285714286</v>
      </c>
      <c r="O36" s="48" t="s">
        <v>48</v>
      </c>
      <c r="P36" s="37" t="n">
        <f aca="false">IF(ISNUMBER(P35),(P35-$P$33)/($P$33-1),"")</f>
        <v>0</v>
      </c>
      <c r="Q36" s="8" t="s">
        <v>129</v>
      </c>
    </row>
    <row r="37" customFormat="false" ht="15" hidden="false" customHeight="false" outlineLevel="0" collapsed="false">
      <c r="A37" s="50"/>
      <c r="B37" s="51" t="s">
        <v>235</v>
      </c>
      <c r="C37" s="52" t="n">
        <f aca="false">IF($P$34=$P$33*($P$33-1)/2,SUM(C33:C36),"")</f>
        <v>3.5</v>
      </c>
      <c r="D37" s="52" t="n">
        <f aca="false">IF($P$34=$P$33*($P$33-1)/2,SUM(D33:D36),"")</f>
        <v>3.5</v>
      </c>
      <c r="E37" s="52" t="n">
        <f aca="false">IF($P$34=$P$33*($P$33-1)/2,SUM(E33:E36),"")</f>
        <v>7</v>
      </c>
      <c r="F37" s="52" t="n">
        <f aca="false">IF($P$34=$P$33*($P$33-1)/2,SUM(F33:F36),"")</f>
        <v>3.5</v>
      </c>
      <c r="M37" s="53" t="n">
        <f aca="false">IF($P$34=$P$33*($P$33-1)/2,SUM(M33:M36),"")</f>
        <v>1</v>
      </c>
      <c r="O37" s="48" t="s">
        <v>232</v>
      </c>
      <c r="P37" s="30" t="n">
        <f aca="false">INDEX(راهنما!$C$29:$C$38,MATCH($P$33,راهنما!$B$29:$B$38,0))</f>
        <v>0.9</v>
      </c>
    </row>
    <row r="38" customFormat="false" ht="15" hidden="false" customHeight="false" outlineLevel="0" collapsed="false">
      <c r="A38" s="50"/>
      <c r="B38" s="51" t="s">
        <v>236</v>
      </c>
      <c r="C38" s="53" t="n">
        <f aca="false">M33</f>
        <v>0.285714285714286</v>
      </c>
      <c r="D38" s="53" t="n">
        <f aca="false">M34</f>
        <v>0.285714285714286</v>
      </c>
      <c r="E38" s="53" t="n">
        <f aca="false">M35</f>
        <v>0.142857142857143</v>
      </c>
      <c r="F38" s="53" t="n">
        <f aca="false">M36</f>
        <v>0.285714285714286</v>
      </c>
      <c r="O38" s="48" t="s">
        <v>50</v>
      </c>
      <c r="P38" s="41" t="n">
        <f aca="false">IF(ISNUMBER(P36),IF(P37=0,0,MAX(0,P36)/P37),"")</f>
        <v>0</v>
      </c>
    </row>
    <row r="39" customFormat="false" ht="15" hidden="false" customHeight="false" outlineLevel="0" collapsed="false">
      <c r="O39" s="48" t="s">
        <v>83</v>
      </c>
      <c r="P39" s="10" t="str">
        <f aca="false">IF(NOT($P$34=$P$33*($P$33-1)/2),"ناقص",IF(P38&lt;=$P$3,"سازگار","ناسازگار"))</f>
        <v>سازگار</v>
      </c>
    </row>
    <row r="40" customFormat="false" ht="15" hidden="false" customHeight="false" outlineLevel="0" collapsed="false">
      <c r="O40" s="48" t="s">
        <v>233</v>
      </c>
      <c r="P40" s="30" t="n">
        <f aca="false">IF(COUNT(AA33:AA36)=0,"",MAX(AA33:AA36))</f>
        <v>1</v>
      </c>
    </row>
    <row r="41" customFormat="false" ht="15" hidden="false" customHeight="false" outlineLevel="0" collapsed="false">
      <c r="O41" s="48" t="s">
        <v>234</v>
      </c>
      <c r="P41" s="19" t="str">
        <f aca="false">IF(ISNUMBER(P40),INDEX(A33:A36,MATCH(P40,AA33:AA36,0))&amp;" و "&amp;INDEX(C32:F32,MATCH(P40,INDEX(R33:U36,MATCH(P40,AA33:AA36,0),0),0)),"")</f>
        <v>گ۴ و گ۵</v>
      </c>
    </row>
    <row r="43" customFormat="false" ht="15" hidden="false" customHeight="false" outlineLevel="0" collapsed="false">
      <c r="A43" s="45" t="s">
        <v>239</v>
      </c>
      <c r="B43" s="45"/>
      <c r="C43" s="45"/>
      <c r="D43" s="45"/>
      <c r="E43" s="45"/>
      <c r="F43" s="45"/>
      <c r="G43" s="45"/>
      <c r="H43" s="45"/>
      <c r="I43" s="45"/>
      <c r="J43" s="45"/>
      <c r="K43" s="45"/>
      <c r="L43" s="45"/>
      <c r="M43" s="45"/>
      <c r="Q43" s="46" t="s">
        <v>224</v>
      </c>
      <c r="R43" s="46"/>
      <c r="S43" s="46"/>
      <c r="T43" s="46"/>
      <c r="U43" s="46"/>
      <c r="V43" s="46"/>
      <c r="W43" s="46"/>
      <c r="X43" s="46"/>
      <c r="Y43" s="46"/>
      <c r="Z43" s="46"/>
      <c r="AA43" s="46"/>
    </row>
    <row r="44" customFormat="false" ht="27.75" hidden="false" customHeight="true" outlineLevel="0" collapsed="false">
      <c r="A44" s="8" t="s">
        <v>199</v>
      </c>
      <c r="B44" s="8" t="s">
        <v>225</v>
      </c>
      <c r="C44" s="8" t="s">
        <v>131</v>
      </c>
      <c r="D44" s="8" t="s">
        <v>133</v>
      </c>
      <c r="E44" s="8" t="s">
        <v>135</v>
      </c>
      <c r="L44" s="7" t="s">
        <v>226</v>
      </c>
      <c r="M44" s="8" t="s">
        <v>227</v>
      </c>
      <c r="Q44" s="8" t="s">
        <v>199</v>
      </c>
      <c r="R44" s="8" t="s">
        <v>131</v>
      </c>
      <c r="S44" s="8" t="s">
        <v>133</v>
      </c>
      <c r="T44" s="8" t="s">
        <v>135</v>
      </c>
      <c r="AA44" s="47" t="s">
        <v>228</v>
      </c>
    </row>
    <row r="45" customFormat="false" ht="27" hidden="false" customHeight="true" outlineLevel="0" collapsed="false">
      <c r="A45" s="19" t="s">
        <v>131</v>
      </c>
      <c r="B45" s="9" t="s">
        <v>132</v>
      </c>
      <c r="C45" s="31" t="n">
        <v>1</v>
      </c>
      <c r="D45" s="31" t="n">
        <f aca="false">نسبت!H54</f>
        <v>1</v>
      </c>
      <c r="E45" s="31" t="n">
        <f aca="false">نسبت!H55</f>
        <v>1</v>
      </c>
      <c r="L45" s="37" t="n">
        <f aca="false">IF($P$46=$P$45*($P$45-1)/2,GEOMEAN(C45:E45),"")</f>
        <v>1</v>
      </c>
      <c r="M45" s="36" t="n">
        <f aca="false">IF($P$46=$P$45*($P$45-1)/2,L45/SUM($L$45:$L$47),"")</f>
        <v>0.333333333333333</v>
      </c>
      <c r="O45" s="48" t="s">
        <v>229</v>
      </c>
      <c r="P45" s="11" t="n">
        <f aca="false">ROWS(A45:A47)</f>
        <v>3</v>
      </c>
      <c r="Q45" s="8" t="s">
        <v>131</v>
      </c>
      <c r="S45" s="30" t="n">
        <f aca="false">IF(AND(ISNUMBER(D45),ISNUMBER($M45),ISNUMBER($M46)),MAX(D45*$M46/$M45,$M45/(D45*$M46)),"")</f>
        <v>1</v>
      </c>
      <c r="T45" s="30" t="n">
        <f aca="false">IF(AND(ISNUMBER(E45),ISNUMBER($M45),ISNUMBER($M47)),MAX(E45*$M47/$M45,$M45/(E45*$M47)),"")</f>
        <v>1</v>
      </c>
      <c r="AA45" s="49" t="n">
        <f aca="false">IF(COUNT(R45:T45)=0,"",MAX(R45:T45))</f>
        <v>1</v>
      </c>
    </row>
    <row r="46" customFormat="false" ht="27" hidden="false" customHeight="true" outlineLevel="0" collapsed="false">
      <c r="A46" s="19" t="s">
        <v>133</v>
      </c>
      <c r="B46" s="9" t="s">
        <v>134</v>
      </c>
      <c r="C46" s="31" t="n">
        <f aca="false">IF(ISNUMBER(D45),1/D45,"")</f>
        <v>1</v>
      </c>
      <c r="D46" s="31" t="n">
        <v>1</v>
      </c>
      <c r="E46" s="31" t="n">
        <f aca="false">نسبت!H56</f>
        <v>1</v>
      </c>
      <c r="L46" s="37" t="n">
        <f aca="false">IF($P$46=$P$45*($P$45-1)/2,GEOMEAN(C46:E46),"")</f>
        <v>1</v>
      </c>
      <c r="M46" s="36" t="n">
        <f aca="false">IF($P$46=$P$45*($P$45-1)/2,L46/SUM($L$45:$L$47),"")</f>
        <v>0.333333333333333</v>
      </c>
      <c r="O46" s="48" t="s">
        <v>230</v>
      </c>
      <c r="P46" s="11" t="n">
        <f aca="false">(COUNT(C45:E47)-$P$45)/2</f>
        <v>3</v>
      </c>
      <c r="Q46" s="8" t="s">
        <v>133</v>
      </c>
      <c r="T46" s="30" t="n">
        <f aca="false">IF(AND(ISNUMBER(E46),ISNUMBER($M46),ISNUMBER($M47)),MAX(E46*$M47/$M46,$M46/(E46*$M47)),"")</f>
        <v>1</v>
      </c>
      <c r="AA46" s="49" t="n">
        <f aca="false">IF(COUNT(R46:T46)=0,"",MAX(R46:T46))</f>
        <v>1</v>
      </c>
    </row>
    <row r="47" customFormat="false" ht="27" hidden="false" customHeight="true" outlineLevel="0" collapsed="false">
      <c r="A47" s="19" t="s">
        <v>135</v>
      </c>
      <c r="B47" s="9" t="s">
        <v>136</v>
      </c>
      <c r="C47" s="31" t="n">
        <f aca="false">IF(ISNUMBER(E45),1/E45,"")</f>
        <v>1</v>
      </c>
      <c r="D47" s="31" t="n">
        <f aca="false">IF(ISNUMBER(E46),1/E46,"")</f>
        <v>1</v>
      </c>
      <c r="E47" s="31" t="n">
        <v>1</v>
      </c>
      <c r="L47" s="37" t="n">
        <f aca="false">IF($P$46=$P$45*($P$45-1)/2,GEOMEAN(C47:E47),"")</f>
        <v>1</v>
      </c>
      <c r="M47" s="36" t="n">
        <f aca="false">IF($P$46=$P$45*($P$45-1)/2,L47/SUM($L$45:$L$47),"")</f>
        <v>0.333333333333333</v>
      </c>
      <c r="O47" s="48" t="s">
        <v>231</v>
      </c>
      <c r="P47" s="37" t="n">
        <f aca="false">IF($P$46=$P$45*($P$45-1)/2,SUMPRODUCT(C48:E48,C49:E49),"")</f>
        <v>3</v>
      </c>
      <c r="Q47" s="8" t="s">
        <v>135</v>
      </c>
    </row>
    <row r="48" customFormat="false" ht="15" hidden="false" customHeight="false" outlineLevel="0" collapsed="false">
      <c r="A48" s="50"/>
      <c r="B48" s="51" t="s">
        <v>235</v>
      </c>
      <c r="C48" s="52" t="n">
        <f aca="false">IF($P$46=$P$45*($P$45-1)/2,SUM(C45:C47),"")</f>
        <v>3</v>
      </c>
      <c r="D48" s="52" t="n">
        <f aca="false">IF($P$46=$P$45*($P$45-1)/2,SUM(D45:D47),"")</f>
        <v>3</v>
      </c>
      <c r="E48" s="52" t="n">
        <f aca="false">IF($P$46=$P$45*($P$45-1)/2,SUM(E45:E47),"")</f>
        <v>3</v>
      </c>
      <c r="M48" s="53" t="n">
        <f aca="false">IF($P$46=$P$45*($P$45-1)/2,SUM(M45:M47),"")</f>
        <v>1</v>
      </c>
      <c r="O48" s="48" t="s">
        <v>48</v>
      </c>
      <c r="P48" s="37" t="n">
        <f aca="false">IF(ISNUMBER(P47),(P47-$P$45)/($P$45-1),"")</f>
        <v>0</v>
      </c>
    </row>
    <row r="49" customFormat="false" ht="15" hidden="false" customHeight="false" outlineLevel="0" collapsed="false">
      <c r="A49" s="50"/>
      <c r="B49" s="51" t="s">
        <v>236</v>
      </c>
      <c r="C49" s="53" t="n">
        <f aca="false">M45</f>
        <v>0.333333333333333</v>
      </c>
      <c r="D49" s="53" t="n">
        <f aca="false">M46</f>
        <v>0.333333333333333</v>
      </c>
      <c r="E49" s="53" t="n">
        <f aca="false">M47</f>
        <v>0.333333333333333</v>
      </c>
      <c r="O49" s="48" t="s">
        <v>232</v>
      </c>
      <c r="P49" s="30" t="n">
        <f aca="false">INDEX(راهنما!$C$29:$C$38,MATCH($P$45,راهنما!$B$29:$B$38,0))</f>
        <v>0.58</v>
      </c>
    </row>
    <row r="50" customFormat="false" ht="15" hidden="false" customHeight="false" outlineLevel="0" collapsed="false">
      <c r="O50" s="48" t="s">
        <v>50</v>
      </c>
      <c r="P50" s="41" t="n">
        <f aca="false">IF(ISNUMBER(P48),IF(P49=0,0,MAX(0,P48)/P49),"")</f>
        <v>0</v>
      </c>
    </row>
    <row r="51" customFormat="false" ht="15" hidden="false" customHeight="false" outlineLevel="0" collapsed="false">
      <c r="O51" s="48" t="s">
        <v>83</v>
      </c>
      <c r="P51" s="10" t="str">
        <f aca="false">IF(NOT($P$46=$P$45*($P$45-1)/2),"ناقص",IF(P50&lt;=$P$3,"سازگار","ناسازگار"))</f>
        <v>سازگار</v>
      </c>
    </row>
    <row r="52" customFormat="false" ht="15" hidden="false" customHeight="false" outlineLevel="0" collapsed="false">
      <c r="O52" s="48" t="s">
        <v>233</v>
      </c>
      <c r="P52" s="30" t="n">
        <f aca="false">IF(COUNT(AA45:AA47)=0,"",MAX(AA45:AA47))</f>
        <v>1</v>
      </c>
    </row>
    <row r="53" customFormat="false" ht="15" hidden="false" customHeight="false" outlineLevel="0" collapsed="false">
      <c r="O53" s="48" t="s">
        <v>234</v>
      </c>
      <c r="P53" s="19" t="str">
        <f aca="false">IF(ISNUMBER(P52),INDEX(A45:A47,MATCH(P52,AA45:AA47,0))&amp;" و "&amp;INDEX(C44:E44,MATCH(P52,INDEX(R45:T47,MATCH(P52,AA45:AA47,0),0),0)),"")</f>
        <v>گ۸ و گ۹</v>
      </c>
    </row>
    <row r="55" customFormat="false" ht="15" hidden="false" customHeight="false" outlineLevel="0" collapsed="false">
      <c r="A55" s="45" t="s">
        <v>240</v>
      </c>
      <c r="B55" s="45"/>
      <c r="C55" s="45"/>
      <c r="D55" s="45"/>
      <c r="E55" s="45"/>
      <c r="F55" s="45"/>
      <c r="G55" s="45"/>
      <c r="H55" s="45"/>
      <c r="I55" s="45"/>
      <c r="J55" s="45"/>
      <c r="K55" s="45"/>
      <c r="L55" s="45"/>
      <c r="M55" s="45"/>
      <c r="Q55" s="46" t="s">
        <v>224</v>
      </c>
      <c r="R55" s="46"/>
      <c r="S55" s="46"/>
      <c r="T55" s="46"/>
      <c r="U55" s="46"/>
      <c r="V55" s="46"/>
      <c r="W55" s="46"/>
      <c r="X55" s="46"/>
      <c r="Y55" s="46"/>
      <c r="Z55" s="46"/>
      <c r="AA55" s="46"/>
    </row>
    <row r="56" customFormat="false" ht="27.75" hidden="false" customHeight="true" outlineLevel="0" collapsed="false">
      <c r="A56" s="8" t="s">
        <v>199</v>
      </c>
      <c r="B56" s="8" t="s">
        <v>225</v>
      </c>
      <c r="C56" s="8" t="s">
        <v>137</v>
      </c>
      <c r="D56" s="8" t="s">
        <v>139</v>
      </c>
      <c r="E56" s="8" t="s">
        <v>141</v>
      </c>
      <c r="F56" s="8" t="s">
        <v>143</v>
      </c>
      <c r="L56" s="7" t="s">
        <v>226</v>
      </c>
      <c r="M56" s="8" t="s">
        <v>227</v>
      </c>
      <c r="Q56" s="8" t="s">
        <v>199</v>
      </c>
      <c r="R56" s="8" t="s">
        <v>137</v>
      </c>
      <c r="S56" s="8" t="s">
        <v>139</v>
      </c>
      <c r="T56" s="8" t="s">
        <v>141</v>
      </c>
      <c r="U56" s="8" t="s">
        <v>143</v>
      </c>
      <c r="AA56" s="47" t="s">
        <v>228</v>
      </c>
    </row>
    <row r="57" customFormat="false" ht="27" hidden="false" customHeight="true" outlineLevel="0" collapsed="false">
      <c r="A57" s="19" t="s">
        <v>137</v>
      </c>
      <c r="B57" s="9" t="s">
        <v>138</v>
      </c>
      <c r="C57" s="31" t="n">
        <v>1</v>
      </c>
      <c r="D57" s="31" t="n">
        <f aca="false">نسبت!H57</f>
        <v>1</v>
      </c>
      <c r="E57" s="31" t="n">
        <f aca="false">نسبت!H58</f>
        <v>2</v>
      </c>
      <c r="F57" s="31" t="n">
        <f aca="false">نسبت!H59</f>
        <v>1</v>
      </c>
      <c r="L57" s="37" t="n">
        <f aca="false">IF($P$58=$P$57*($P$57-1)/2,GEOMEAN(C57:F57),"")</f>
        <v>1.18920711500272</v>
      </c>
      <c r="M57" s="36" t="n">
        <f aca="false">IF($P$58=$P$57*($P$57-1)/2,L57/SUM($L$57:$L$60),"")</f>
        <v>0.285714285714286</v>
      </c>
      <c r="O57" s="48" t="s">
        <v>229</v>
      </c>
      <c r="P57" s="11" t="n">
        <f aca="false">ROWS(A57:A60)</f>
        <v>4</v>
      </c>
      <c r="Q57" s="8" t="s">
        <v>137</v>
      </c>
      <c r="S57" s="30" t="n">
        <f aca="false">IF(AND(ISNUMBER(D57),ISNUMBER($M57),ISNUMBER($M58)),MAX(D57*$M58/$M57,$M57/(D57*$M58)),"")</f>
        <v>1</v>
      </c>
      <c r="T57" s="30" t="n">
        <f aca="false">IF(AND(ISNUMBER(E57),ISNUMBER($M57),ISNUMBER($M59)),MAX(E57*$M59/$M57,$M57/(E57*$M59)),"")</f>
        <v>1</v>
      </c>
      <c r="U57" s="30" t="n">
        <f aca="false">IF(AND(ISNUMBER(F57),ISNUMBER($M57),ISNUMBER($M60)),MAX(F57*$M60/$M57,$M57/(F57*$M60)),"")</f>
        <v>1</v>
      </c>
      <c r="AA57" s="49" t="n">
        <f aca="false">IF(COUNT(R57:U57)=0,"",MAX(R57:U57))</f>
        <v>1</v>
      </c>
    </row>
    <row r="58" customFormat="false" ht="27" hidden="false" customHeight="true" outlineLevel="0" collapsed="false">
      <c r="A58" s="19" t="s">
        <v>139</v>
      </c>
      <c r="B58" s="9" t="s">
        <v>140</v>
      </c>
      <c r="C58" s="31" t="n">
        <f aca="false">IF(ISNUMBER(D57),1/D57,"")</f>
        <v>1</v>
      </c>
      <c r="D58" s="31" t="n">
        <v>1</v>
      </c>
      <c r="E58" s="31" t="n">
        <f aca="false">نسبت!H60</f>
        <v>2</v>
      </c>
      <c r="F58" s="31" t="n">
        <f aca="false">نسبت!H61</f>
        <v>1</v>
      </c>
      <c r="L58" s="37" t="n">
        <f aca="false">IF($P$58=$P$57*($P$57-1)/2,GEOMEAN(C58:F58),"")</f>
        <v>1.18920711500272</v>
      </c>
      <c r="M58" s="36" t="n">
        <f aca="false">IF($P$58=$P$57*($P$57-1)/2,L58/SUM($L$57:$L$60),"")</f>
        <v>0.285714285714286</v>
      </c>
      <c r="O58" s="48" t="s">
        <v>230</v>
      </c>
      <c r="P58" s="11" t="n">
        <f aca="false">(COUNT(C57:F60)-$P$57)/2</f>
        <v>6</v>
      </c>
      <c r="Q58" s="8" t="s">
        <v>139</v>
      </c>
      <c r="T58" s="30" t="n">
        <f aca="false">IF(AND(ISNUMBER(E58),ISNUMBER($M58),ISNUMBER($M59)),MAX(E58*$M59/$M58,$M58/(E58*$M59)),"")</f>
        <v>1</v>
      </c>
      <c r="U58" s="30" t="n">
        <f aca="false">IF(AND(ISNUMBER(F58),ISNUMBER($M58),ISNUMBER($M60)),MAX(F58*$M60/$M58,$M58/(F58*$M60)),"")</f>
        <v>1</v>
      </c>
      <c r="AA58" s="49" t="n">
        <f aca="false">IF(COUNT(R58:U58)=0,"",MAX(R58:U58))</f>
        <v>1</v>
      </c>
    </row>
    <row r="59" customFormat="false" ht="27" hidden="false" customHeight="true" outlineLevel="0" collapsed="false">
      <c r="A59" s="19" t="s">
        <v>141</v>
      </c>
      <c r="B59" s="9" t="s">
        <v>142</v>
      </c>
      <c r="C59" s="31" t="n">
        <f aca="false">IF(ISNUMBER(E57),1/E57,"")</f>
        <v>0.5</v>
      </c>
      <c r="D59" s="31" t="n">
        <f aca="false">IF(ISNUMBER(E58),1/E58,"")</f>
        <v>0.5</v>
      </c>
      <c r="E59" s="31" t="n">
        <v>1</v>
      </c>
      <c r="F59" s="31" t="n">
        <f aca="false">نسبت!H62</f>
        <v>0.5</v>
      </c>
      <c r="L59" s="37" t="n">
        <f aca="false">IF($P$58=$P$57*($P$57-1)/2,GEOMEAN(C59:F59),"")</f>
        <v>0.594603557501361</v>
      </c>
      <c r="M59" s="36" t="n">
        <f aca="false">IF($P$58=$P$57*($P$57-1)/2,L59/SUM($L$57:$L$60),"")</f>
        <v>0.142857142857143</v>
      </c>
      <c r="O59" s="48" t="s">
        <v>231</v>
      </c>
      <c r="P59" s="37" t="n">
        <f aca="false">IF($P$58=$P$57*($P$57-1)/2,SUMPRODUCT(C61:F61,C62:F62),"")</f>
        <v>4</v>
      </c>
      <c r="Q59" s="8" t="s">
        <v>141</v>
      </c>
      <c r="U59" s="30" t="n">
        <f aca="false">IF(AND(ISNUMBER(F59),ISNUMBER($M59),ISNUMBER($M60)),MAX(F59*$M60/$M59,$M59/(F59*$M60)),"")</f>
        <v>1</v>
      </c>
      <c r="AA59" s="49" t="n">
        <f aca="false">IF(COUNT(R59:U59)=0,"",MAX(R59:U59))</f>
        <v>1</v>
      </c>
    </row>
    <row r="60" customFormat="false" ht="27" hidden="false" customHeight="true" outlineLevel="0" collapsed="false">
      <c r="A60" s="19" t="s">
        <v>143</v>
      </c>
      <c r="B60" s="9" t="s">
        <v>144</v>
      </c>
      <c r="C60" s="31" t="n">
        <f aca="false">IF(ISNUMBER(F57),1/F57,"")</f>
        <v>1</v>
      </c>
      <c r="D60" s="31" t="n">
        <f aca="false">IF(ISNUMBER(F58),1/F58,"")</f>
        <v>1</v>
      </c>
      <c r="E60" s="31" t="n">
        <f aca="false">IF(ISNUMBER(F59),1/F59,"")</f>
        <v>2</v>
      </c>
      <c r="F60" s="31" t="n">
        <v>1</v>
      </c>
      <c r="L60" s="37" t="n">
        <f aca="false">IF($P$58=$P$57*($P$57-1)/2,GEOMEAN(C60:F60),"")</f>
        <v>1.18920711500272</v>
      </c>
      <c r="M60" s="36" t="n">
        <f aca="false">IF($P$58=$P$57*($P$57-1)/2,L60/SUM($L$57:$L$60),"")</f>
        <v>0.285714285714286</v>
      </c>
      <c r="O60" s="48" t="s">
        <v>48</v>
      </c>
      <c r="P60" s="37" t="n">
        <f aca="false">IF(ISNUMBER(P59),(P59-$P$57)/($P$57-1),"")</f>
        <v>0</v>
      </c>
      <c r="Q60" s="8" t="s">
        <v>143</v>
      </c>
    </row>
    <row r="61" customFormat="false" ht="15" hidden="false" customHeight="false" outlineLevel="0" collapsed="false">
      <c r="A61" s="50"/>
      <c r="B61" s="51" t="s">
        <v>235</v>
      </c>
      <c r="C61" s="52" t="n">
        <f aca="false">IF($P$58=$P$57*($P$57-1)/2,SUM(C57:C60),"")</f>
        <v>3.5</v>
      </c>
      <c r="D61" s="52" t="n">
        <f aca="false">IF($P$58=$P$57*($P$57-1)/2,SUM(D57:D60),"")</f>
        <v>3.5</v>
      </c>
      <c r="E61" s="52" t="n">
        <f aca="false">IF($P$58=$P$57*($P$57-1)/2,SUM(E57:E60),"")</f>
        <v>7</v>
      </c>
      <c r="F61" s="52" t="n">
        <f aca="false">IF($P$58=$P$57*($P$57-1)/2,SUM(F57:F60),"")</f>
        <v>3.5</v>
      </c>
      <c r="M61" s="53" t="n">
        <f aca="false">IF($P$58=$P$57*($P$57-1)/2,SUM(M57:M60),"")</f>
        <v>1</v>
      </c>
      <c r="O61" s="48" t="s">
        <v>232</v>
      </c>
      <c r="P61" s="30" t="n">
        <f aca="false">INDEX(راهنما!$C$29:$C$38,MATCH($P$57,راهنما!$B$29:$B$38,0))</f>
        <v>0.9</v>
      </c>
    </row>
    <row r="62" customFormat="false" ht="15" hidden="false" customHeight="false" outlineLevel="0" collapsed="false">
      <c r="A62" s="50"/>
      <c r="B62" s="51" t="s">
        <v>236</v>
      </c>
      <c r="C62" s="53" t="n">
        <f aca="false">M57</f>
        <v>0.285714285714286</v>
      </c>
      <c r="D62" s="53" t="n">
        <f aca="false">M58</f>
        <v>0.285714285714286</v>
      </c>
      <c r="E62" s="53" t="n">
        <f aca="false">M59</f>
        <v>0.142857142857143</v>
      </c>
      <c r="F62" s="53" t="n">
        <f aca="false">M60</f>
        <v>0.285714285714286</v>
      </c>
      <c r="O62" s="48" t="s">
        <v>50</v>
      </c>
      <c r="P62" s="41" t="n">
        <f aca="false">IF(ISNUMBER(P60),IF(P61=0,0,MAX(0,P60)/P61),"")</f>
        <v>0</v>
      </c>
    </row>
    <row r="63" customFormat="false" ht="15" hidden="false" customHeight="false" outlineLevel="0" collapsed="false">
      <c r="O63" s="48" t="s">
        <v>83</v>
      </c>
      <c r="P63" s="10" t="str">
        <f aca="false">IF(NOT($P$58=$P$57*($P$57-1)/2),"ناقص",IF(P62&lt;=$P$3,"سازگار","ناسازگار"))</f>
        <v>سازگار</v>
      </c>
    </row>
    <row r="64" customFormat="false" ht="15" hidden="false" customHeight="false" outlineLevel="0" collapsed="false">
      <c r="O64" s="48" t="s">
        <v>233</v>
      </c>
      <c r="P64" s="30" t="n">
        <f aca="false">IF(COUNT(AA57:AA60)=0,"",MAX(AA57:AA60))</f>
        <v>1</v>
      </c>
    </row>
    <row r="65" customFormat="false" ht="15" hidden="false" customHeight="false" outlineLevel="0" collapsed="false">
      <c r="O65" s="48" t="s">
        <v>234</v>
      </c>
      <c r="P65" s="19" t="str">
        <f aca="false">IF(ISNUMBER(P64),INDEX(A57:A60,MATCH(P64,AA57:AA60,0))&amp;" و "&amp;INDEX(C56:F56,MATCH(P64,INDEX(R57:U60,MATCH(P64,AA57:AA60,0),0),0)),"")</f>
        <v>گ۱۱ و گ۱۲</v>
      </c>
    </row>
    <row r="67" customFormat="false" ht="15" hidden="false" customHeight="false" outlineLevel="0" collapsed="false">
      <c r="A67" s="45" t="s">
        <v>241</v>
      </c>
      <c r="B67" s="45"/>
      <c r="C67" s="45"/>
      <c r="D67" s="45"/>
      <c r="E67" s="45"/>
      <c r="F67" s="45"/>
      <c r="G67" s="45"/>
      <c r="H67" s="45"/>
      <c r="I67" s="45"/>
      <c r="J67" s="45"/>
      <c r="K67" s="45"/>
      <c r="L67" s="45"/>
      <c r="M67" s="45"/>
      <c r="Q67" s="46" t="s">
        <v>224</v>
      </c>
      <c r="R67" s="46"/>
      <c r="S67" s="46"/>
      <c r="T67" s="46"/>
      <c r="U67" s="46"/>
      <c r="V67" s="46"/>
      <c r="W67" s="46"/>
      <c r="X67" s="46"/>
      <c r="Y67" s="46"/>
      <c r="Z67" s="46"/>
      <c r="AA67" s="46"/>
    </row>
    <row r="68" customFormat="false" ht="27.75" hidden="false" customHeight="true" outlineLevel="0" collapsed="false">
      <c r="A68" s="8" t="s">
        <v>199</v>
      </c>
      <c r="B68" s="8" t="s">
        <v>225</v>
      </c>
      <c r="C68" s="8" t="s">
        <v>145</v>
      </c>
      <c r="D68" s="8" t="s">
        <v>147</v>
      </c>
      <c r="E68" s="8" t="s">
        <v>149</v>
      </c>
      <c r="F68" s="8" t="s">
        <v>151</v>
      </c>
      <c r="L68" s="7" t="s">
        <v>226</v>
      </c>
      <c r="M68" s="8" t="s">
        <v>227</v>
      </c>
      <c r="Q68" s="8" t="s">
        <v>199</v>
      </c>
      <c r="R68" s="8" t="s">
        <v>145</v>
      </c>
      <c r="S68" s="8" t="s">
        <v>147</v>
      </c>
      <c r="T68" s="8" t="s">
        <v>149</v>
      </c>
      <c r="U68" s="8" t="s">
        <v>151</v>
      </c>
      <c r="AA68" s="47" t="s">
        <v>228</v>
      </c>
    </row>
    <row r="69" customFormat="false" ht="27" hidden="false" customHeight="true" outlineLevel="0" collapsed="false">
      <c r="A69" s="19" t="s">
        <v>145</v>
      </c>
      <c r="B69" s="9" t="s">
        <v>146</v>
      </c>
      <c r="C69" s="31" t="n">
        <v>1</v>
      </c>
      <c r="D69" s="31" t="n">
        <f aca="false">نسبت!H63</f>
        <v>1</v>
      </c>
      <c r="E69" s="31" t="n">
        <f aca="false">نسبت!H64</f>
        <v>1</v>
      </c>
      <c r="F69" s="31" t="n">
        <f aca="false">نسبت!H65</f>
        <v>1</v>
      </c>
      <c r="L69" s="37" t="n">
        <f aca="false">IF($P$70=$P$69*($P$69-1)/2,GEOMEAN(C69:F69),"")</f>
        <v>1</v>
      </c>
      <c r="M69" s="36" t="n">
        <f aca="false">IF($P$70=$P$69*($P$69-1)/2,L69/SUM($L$69:$L$72),"")</f>
        <v>0.25</v>
      </c>
      <c r="O69" s="48" t="s">
        <v>229</v>
      </c>
      <c r="P69" s="11" t="n">
        <f aca="false">ROWS(A69:A72)</f>
        <v>4</v>
      </c>
      <c r="Q69" s="8" t="s">
        <v>145</v>
      </c>
      <c r="S69" s="30" t="n">
        <f aca="false">IF(AND(ISNUMBER(D69),ISNUMBER($M69),ISNUMBER($M70)),MAX(D69*$M70/$M69,$M69/(D69*$M70)),"")</f>
        <v>1</v>
      </c>
      <c r="T69" s="30" t="n">
        <f aca="false">IF(AND(ISNUMBER(E69),ISNUMBER($M69),ISNUMBER($M71)),MAX(E69*$M71/$M69,$M69/(E69*$M71)),"")</f>
        <v>1</v>
      </c>
      <c r="U69" s="30" t="n">
        <f aca="false">IF(AND(ISNUMBER(F69),ISNUMBER($M69),ISNUMBER($M72)),MAX(F69*$M72/$M69,$M69/(F69*$M72)),"")</f>
        <v>1</v>
      </c>
      <c r="AA69" s="49" t="n">
        <f aca="false">IF(COUNT(R69:U69)=0,"",MAX(R69:U69))</f>
        <v>1</v>
      </c>
    </row>
    <row r="70" customFormat="false" ht="27" hidden="false" customHeight="true" outlineLevel="0" collapsed="false">
      <c r="A70" s="19" t="s">
        <v>147</v>
      </c>
      <c r="B70" s="9" t="s">
        <v>148</v>
      </c>
      <c r="C70" s="31" t="n">
        <f aca="false">IF(ISNUMBER(D69),1/D69,"")</f>
        <v>1</v>
      </c>
      <c r="D70" s="31" t="n">
        <v>1</v>
      </c>
      <c r="E70" s="31" t="n">
        <f aca="false">نسبت!H66</f>
        <v>1</v>
      </c>
      <c r="F70" s="31" t="n">
        <f aca="false">نسبت!H67</f>
        <v>1</v>
      </c>
      <c r="L70" s="37" t="n">
        <f aca="false">IF($P$70=$P$69*($P$69-1)/2,GEOMEAN(C70:F70),"")</f>
        <v>1</v>
      </c>
      <c r="M70" s="36" t="n">
        <f aca="false">IF($P$70=$P$69*($P$69-1)/2,L70/SUM($L$69:$L$72),"")</f>
        <v>0.25</v>
      </c>
      <c r="O70" s="48" t="s">
        <v>230</v>
      </c>
      <c r="P70" s="11" t="n">
        <f aca="false">(COUNT(C69:F72)-$P$69)/2</f>
        <v>6</v>
      </c>
      <c r="Q70" s="8" t="s">
        <v>147</v>
      </c>
      <c r="T70" s="30" t="n">
        <f aca="false">IF(AND(ISNUMBER(E70),ISNUMBER($M70),ISNUMBER($M71)),MAX(E70*$M71/$M70,$M70/(E70*$M71)),"")</f>
        <v>1</v>
      </c>
      <c r="U70" s="30" t="n">
        <f aca="false">IF(AND(ISNUMBER(F70),ISNUMBER($M70),ISNUMBER($M72)),MAX(F70*$M72/$M70,$M70/(F70*$M72)),"")</f>
        <v>1</v>
      </c>
      <c r="AA70" s="49" t="n">
        <f aca="false">IF(COUNT(R70:U70)=0,"",MAX(R70:U70))</f>
        <v>1</v>
      </c>
    </row>
    <row r="71" customFormat="false" ht="27" hidden="false" customHeight="true" outlineLevel="0" collapsed="false">
      <c r="A71" s="19" t="s">
        <v>149</v>
      </c>
      <c r="B71" s="9" t="s">
        <v>150</v>
      </c>
      <c r="C71" s="31" t="n">
        <f aca="false">IF(ISNUMBER(E69),1/E69,"")</f>
        <v>1</v>
      </c>
      <c r="D71" s="31" t="n">
        <f aca="false">IF(ISNUMBER(E70),1/E70,"")</f>
        <v>1</v>
      </c>
      <c r="E71" s="31" t="n">
        <v>1</v>
      </c>
      <c r="F71" s="31" t="n">
        <f aca="false">نسبت!H68</f>
        <v>1</v>
      </c>
      <c r="L71" s="37" t="n">
        <f aca="false">IF($P$70=$P$69*($P$69-1)/2,GEOMEAN(C71:F71),"")</f>
        <v>1</v>
      </c>
      <c r="M71" s="36" t="n">
        <f aca="false">IF($P$70=$P$69*($P$69-1)/2,L71/SUM($L$69:$L$72),"")</f>
        <v>0.25</v>
      </c>
      <c r="O71" s="48" t="s">
        <v>231</v>
      </c>
      <c r="P71" s="37" t="n">
        <f aca="false">IF($P$70=$P$69*($P$69-1)/2,SUMPRODUCT(C73:F73,C74:F74),"")</f>
        <v>4</v>
      </c>
      <c r="Q71" s="8" t="s">
        <v>149</v>
      </c>
      <c r="U71" s="30" t="n">
        <f aca="false">IF(AND(ISNUMBER(F71),ISNUMBER($M71),ISNUMBER($M72)),MAX(F71*$M72/$M71,$M71/(F71*$M72)),"")</f>
        <v>1</v>
      </c>
      <c r="AA71" s="49" t="n">
        <f aca="false">IF(COUNT(R71:U71)=0,"",MAX(R71:U71))</f>
        <v>1</v>
      </c>
    </row>
    <row r="72" customFormat="false" ht="27" hidden="false" customHeight="true" outlineLevel="0" collapsed="false">
      <c r="A72" s="19" t="s">
        <v>151</v>
      </c>
      <c r="B72" s="9" t="s">
        <v>152</v>
      </c>
      <c r="C72" s="31" t="n">
        <f aca="false">IF(ISNUMBER(F69),1/F69,"")</f>
        <v>1</v>
      </c>
      <c r="D72" s="31" t="n">
        <f aca="false">IF(ISNUMBER(F70),1/F70,"")</f>
        <v>1</v>
      </c>
      <c r="E72" s="31" t="n">
        <f aca="false">IF(ISNUMBER(F71),1/F71,"")</f>
        <v>1</v>
      </c>
      <c r="F72" s="31" t="n">
        <v>1</v>
      </c>
      <c r="L72" s="37" t="n">
        <f aca="false">IF($P$70=$P$69*($P$69-1)/2,GEOMEAN(C72:F72),"")</f>
        <v>1</v>
      </c>
      <c r="M72" s="36" t="n">
        <f aca="false">IF($P$70=$P$69*($P$69-1)/2,L72/SUM($L$69:$L$72),"")</f>
        <v>0.25</v>
      </c>
      <c r="O72" s="48" t="s">
        <v>48</v>
      </c>
      <c r="P72" s="37" t="n">
        <f aca="false">IF(ISNUMBER(P71),(P71-$P$69)/($P$69-1),"")</f>
        <v>0</v>
      </c>
      <c r="Q72" s="8" t="s">
        <v>151</v>
      </c>
    </row>
    <row r="73" customFormat="false" ht="15" hidden="false" customHeight="false" outlineLevel="0" collapsed="false">
      <c r="A73" s="50"/>
      <c r="B73" s="51" t="s">
        <v>235</v>
      </c>
      <c r="C73" s="52" t="n">
        <f aca="false">IF($P$70=$P$69*($P$69-1)/2,SUM(C69:C72),"")</f>
        <v>4</v>
      </c>
      <c r="D73" s="52" t="n">
        <f aca="false">IF($P$70=$P$69*($P$69-1)/2,SUM(D69:D72),"")</f>
        <v>4</v>
      </c>
      <c r="E73" s="52" t="n">
        <f aca="false">IF($P$70=$P$69*($P$69-1)/2,SUM(E69:E72),"")</f>
        <v>4</v>
      </c>
      <c r="F73" s="52" t="n">
        <f aca="false">IF($P$70=$P$69*($P$69-1)/2,SUM(F69:F72),"")</f>
        <v>4</v>
      </c>
      <c r="M73" s="53" t="n">
        <f aca="false">IF($P$70=$P$69*($P$69-1)/2,SUM(M69:M72),"")</f>
        <v>1</v>
      </c>
      <c r="O73" s="48" t="s">
        <v>232</v>
      </c>
      <c r="P73" s="30" t="n">
        <f aca="false">INDEX(راهنما!$C$29:$C$38,MATCH($P$69,راهنما!$B$29:$B$38,0))</f>
        <v>0.9</v>
      </c>
    </row>
    <row r="74" customFormat="false" ht="15" hidden="false" customHeight="false" outlineLevel="0" collapsed="false">
      <c r="A74" s="50"/>
      <c r="B74" s="51" t="s">
        <v>236</v>
      </c>
      <c r="C74" s="53" t="n">
        <f aca="false">M69</f>
        <v>0.25</v>
      </c>
      <c r="D74" s="53" t="n">
        <f aca="false">M70</f>
        <v>0.25</v>
      </c>
      <c r="E74" s="53" t="n">
        <f aca="false">M71</f>
        <v>0.25</v>
      </c>
      <c r="F74" s="53" t="n">
        <f aca="false">M72</f>
        <v>0.25</v>
      </c>
      <c r="O74" s="48" t="s">
        <v>50</v>
      </c>
      <c r="P74" s="41" t="n">
        <f aca="false">IF(ISNUMBER(P72),IF(P73=0,0,MAX(0,P72)/P73),"")</f>
        <v>0</v>
      </c>
    </row>
    <row r="75" customFormat="false" ht="15" hidden="false" customHeight="false" outlineLevel="0" collapsed="false">
      <c r="O75" s="48" t="s">
        <v>83</v>
      </c>
      <c r="P75" s="10" t="str">
        <f aca="false">IF(NOT($P$70=$P$69*($P$69-1)/2),"ناقص",IF(P74&lt;=$P$3,"سازگار","ناسازگار"))</f>
        <v>سازگار</v>
      </c>
    </row>
    <row r="76" customFormat="false" ht="15" hidden="false" customHeight="false" outlineLevel="0" collapsed="false">
      <c r="O76" s="48" t="s">
        <v>233</v>
      </c>
      <c r="P76" s="30" t="n">
        <f aca="false">IF(COUNT(AA69:AA72)=0,"",MAX(AA69:AA72))</f>
        <v>1</v>
      </c>
    </row>
    <row r="77" customFormat="false" ht="15" hidden="false" customHeight="false" outlineLevel="0" collapsed="false">
      <c r="O77" s="48" t="s">
        <v>234</v>
      </c>
      <c r="P77" s="19" t="str">
        <f aca="false">IF(ISNUMBER(P76),INDEX(A69:A72,MATCH(P76,AA69:AA72,0))&amp;" و "&amp;INDEX(C68:F68,MATCH(P76,INDEX(R69:U72,MATCH(P76,AA69:AA72,0),0),0)),"")</f>
        <v>گ۱۵ و گ۱۶</v>
      </c>
    </row>
    <row r="79" customFormat="false" ht="15" hidden="false" customHeight="false" outlineLevel="0" collapsed="false">
      <c r="A79" s="45" t="s">
        <v>242</v>
      </c>
      <c r="B79" s="45"/>
      <c r="C79" s="45"/>
      <c r="D79" s="45"/>
      <c r="E79" s="45"/>
      <c r="F79" s="45"/>
      <c r="G79" s="45"/>
      <c r="H79" s="45"/>
      <c r="I79" s="45"/>
      <c r="J79" s="45"/>
      <c r="K79" s="45"/>
      <c r="L79" s="45"/>
      <c r="M79" s="45"/>
      <c r="Q79" s="46" t="s">
        <v>224</v>
      </c>
      <c r="R79" s="46"/>
      <c r="S79" s="46"/>
      <c r="T79" s="46"/>
      <c r="U79" s="46"/>
      <c r="V79" s="46"/>
      <c r="W79" s="46"/>
      <c r="X79" s="46"/>
      <c r="Y79" s="46"/>
      <c r="Z79" s="46"/>
      <c r="AA79" s="46"/>
    </row>
    <row r="80" customFormat="false" ht="27.75" hidden="false" customHeight="true" outlineLevel="0" collapsed="false">
      <c r="A80" s="8" t="s">
        <v>199</v>
      </c>
      <c r="B80" s="8" t="s">
        <v>225</v>
      </c>
      <c r="C80" s="8" t="s">
        <v>153</v>
      </c>
      <c r="D80" s="8" t="s">
        <v>155</v>
      </c>
      <c r="E80" s="8" t="s">
        <v>157</v>
      </c>
      <c r="L80" s="7" t="s">
        <v>226</v>
      </c>
      <c r="M80" s="8" t="s">
        <v>227</v>
      </c>
      <c r="Q80" s="8" t="s">
        <v>199</v>
      </c>
      <c r="R80" s="8" t="s">
        <v>153</v>
      </c>
      <c r="S80" s="8" t="s">
        <v>155</v>
      </c>
      <c r="T80" s="8" t="s">
        <v>157</v>
      </c>
      <c r="AA80" s="47" t="s">
        <v>228</v>
      </c>
    </row>
    <row r="81" customFormat="false" ht="27" hidden="false" customHeight="true" outlineLevel="0" collapsed="false">
      <c r="A81" s="19" t="s">
        <v>153</v>
      </c>
      <c r="B81" s="9" t="s">
        <v>154</v>
      </c>
      <c r="C81" s="31" t="n">
        <v>1</v>
      </c>
      <c r="D81" s="31" t="n">
        <f aca="false">نسبت!H69</f>
        <v>2</v>
      </c>
      <c r="E81" s="31" t="n">
        <f aca="false">نسبت!H70</f>
        <v>2</v>
      </c>
      <c r="L81" s="37" t="n">
        <f aca="false">IF($P$82=$P$81*($P$81-1)/2,GEOMEAN(C81:E81),"")</f>
        <v>1.5874010519682</v>
      </c>
      <c r="M81" s="36" t="n">
        <f aca="false">IF($P$82=$P$81*($P$81-1)/2,L81/SUM($L$81:$L$83),"")</f>
        <v>0.5</v>
      </c>
      <c r="O81" s="48" t="s">
        <v>229</v>
      </c>
      <c r="P81" s="11" t="n">
        <f aca="false">ROWS(A81:A83)</f>
        <v>3</v>
      </c>
      <c r="Q81" s="8" t="s">
        <v>153</v>
      </c>
      <c r="S81" s="30" t="n">
        <f aca="false">IF(AND(ISNUMBER(D81),ISNUMBER($M81),ISNUMBER($M82)),MAX(D81*$M82/$M81,$M81/(D81*$M82)),"")</f>
        <v>1</v>
      </c>
      <c r="T81" s="30" t="n">
        <f aca="false">IF(AND(ISNUMBER(E81),ISNUMBER($M81),ISNUMBER($M83)),MAX(E81*$M83/$M81,$M81/(E81*$M83)),"")</f>
        <v>1</v>
      </c>
      <c r="AA81" s="49" t="n">
        <f aca="false">IF(COUNT(R81:T81)=0,"",MAX(R81:T81))</f>
        <v>1</v>
      </c>
    </row>
    <row r="82" customFormat="false" ht="27" hidden="false" customHeight="true" outlineLevel="0" collapsed="false">
      <c r="A82" s="19" t="s">
        <v>155</v>
      </c>
      <c r="B82" s="9" t="s">
        <v>156</v>
      </c>
      <c r="C82" s="31" t="n">
        <f aca="false">IF(ISNUMBER(D81),1/D81,"")</f>
        <v>0.5</v>
      </c>
      <c r="D82" s="31" t="n">
        <v>1</v>
      </c>
      <c r="E82" s="31" t="n">
        <f aca="false">نسبت!H71</f>
        <v>1</v>
      </c>
      <c r="L82" s="37" t="n">
        <f aca="false">IF($P$82=$P$81*($P$81-1)/2,GEOMEAN(C82:E82),"")</f>
        <v>0.7937005259841</v>
      </c>
      <c r="M82" s="36" t="n">
        <f aca="false">IF($P$82=$P$81*($P$81-1)/2,L82/SUM($L$81:$L$83),"")</f>
        <v>0.25</v>
      </c>
      <c r="O82" s="48" t="s">
        <v>230</v>
      </c>
      <c r="P82" s="11" t="n">
        <f aca="false">(COUNT(C81:E83)-$P$81)/2</f>
        <v>3</v>
      </c>
      <c r="Q82" s="8" t="s">
        <v>155</v>
      </c>
      <c r="T82" s="30" t="n">
        <f aca="false">IF(AND(ISNUMBER(E82),ISNUMBER($M82),ISNUMBER($M83)),MAX(E82*$M83/$M82,$M82/(E82*$M83)),"")</f>
        <v>1</v>
      </c>
      <c r="AA82" s="49" t="n">
        <f aca="false">IF(COUNT(R82:T82)=0,"",MAX(R82:T82))</f>
        <v>1</v>
      </c>
    </row>
    <row r="83" customFormat="false" ht="27" hidden="false" customHeight="true" outlineLevel="0" collapsed="false">
      <c r="A83" s="19" t="s">
        <v>157</v>
      </c>
      <c r="B83" s="9" t="s">
        <v>158</v>
      </c>
      <c r="C83" s="31" t="n">
        <f aca="false">IF(ISNUMBER(E81),1/E81,"")</f>
        <v>0.5</v>
      </c>
      <c r="D83" s="31" t="n">
        <f aca="false">IF(ISNUMBER(E82),1/E82,"")</f>
        <v>1</v>
      </c>
      <c r="E83" s="31" t="n">
        <v>1</v>
      </c>
      <c r="L83" s="37" t="n">
        <f aca="false">IF($P$82=$P$81*($P$81-1)/2,GEOMEAN(C83:E83),"")</f>
        <v>0.7937005259841</v>
      </c>
      <c r="M83" s="36" t="n">
        <f aca="false">IF($P$82=$P$81*($P$81-1)/2,L83/SUM($L$81:$L$83),"")</f>
        <v>0.25</v>
      </c>
      <c r="O83" s="48" t="s">
        <v>231</v>
      </c>
      <c r="P83" s="37" t="n">
        <f aca="false">IF($P$82=$P$81*($P$81-1)/2,SUMPRODUCT(C84:E84,C85:E85),"")</f>
        <v>3</v>
      </c>
      <c r="Q83" s="8" t="s">
        <v>157</v>
      </c>
    </row>
    <row r="84" customFormat="false" ht="15" hidden="false" customHeight="false" outlineLevel="0" collapsed="false">
      <c r="A84" s="50"/>
      <c r="B84" s="51" t="s">
        <v>235</v>
      </c>
      <c r="C84" s="52" t="n">
        <f aca="false">IF($P$82=$P$81*($P$81-1)/2,SUM(C81:C83),"")</f>
        <v>2</v>
      </c>
      <c r="D84" s="52" t="n">
        <f aca="false">IF($P$82=$P$81*($P$81-1)/2,SUM(D81:D83),"")</f>
        <v>4</v>
      </c>
      <c r="E84" s="52" t="n">
        <f aca="false">IF($P$82=$P$81*($P$81-1)/2,SUM(E81:E83),"")</f>
        <v>4</v>
      </c>
      <c r="M84" s="53" t="n">
        <f aca="false">IF($P$82=$P$81*($P$81-1)/2,SUM(M81:M83),"")</f>
        <v>1</v>
      </c>
      <c r="O84" s="48" t="s">
        <v>48</v>
      </c>
      <c r="P84" s="37" t="n">
        <f aca="false">IF(ISNUMBER(P83),(P83-$P$81)/($P$81-1),"")</f>
        <v>0</v>
      </c>
    </row>
    <row r="85" customFormat="false" ht="15" hidden="false" customHeight="false" outlineLevel="0" collapsed="false">
      <c r="A85" s="50"/>
      <c r="B85" s="51" t="s">
        <v>236</v>
      </c>
      <c r="C85" s="53" t="n">
        <f aca="false">M81</f>
        <v>0.5</v>
      </c>
      <c r="D85" s="53" t="n">
        <f aca="false">M82</f>
        <v>0.25</v>
      </c>
      <c r="E85" s="53" t="n">
        <f aca="false">M83</f>
        <v>0.25</v>
      </c>
      <c r="O85" s="48" t="s">
        <v>232</v>
      </c>
      <c r="P85" s="30" t="n">
        <f aca="false">INDEX(راهنما!$C$29:$C$38,MATCH($P$81,راهنما!$B$29:$B$38,0))</f>
        <v>0.58</v>
      </c>
    </row>
    <row r="86" customFormat="false" ht="15" hidden="false" customHeight="false" outlineLevel="0" collapsed="false">
      <c r="O86" s="48" t="s">
        <v>50</v>
      </c>
      <c r="P86" s="41" t="n">
        <f aca="false">IF(ISNUMBER(P84),IF(P85=0,0,MAX(0,P84)/P85),"")</f>
        <v>0</v>
      </c>
    </row>
    <row r="87" customFormat="false" ht="15" hidden="false" customHeight="false" outlineLevel="0" collapsed="false">
      <c r="O87" s="48" t="s">
        <v>83</v>
      </c>
      <c r="P87" s="10" t="str">
        <f aca="false">IF(NOT($P$82=$P$81*($P$81-1)/2),"ناقص",IF(P86&lt;=$P$3,"سازگار","ناسازگار"))</f>
        <v>سازگار</v>
      </c>
    </row>
    <row r="88" customFormat="false" ht="15" hidden="false" customHeight="false" outlineLevel="0" collapsed="false">
      <c r="O88" s="48" t="s">
        <v>233</v>
      </c>
      <c r="P88" s="30" t="n">
        <f aca="false">IF(COUNT(AA81:AA83)=0,"",MAX(AA81:AA83))</f>
        <v>1</v>
      </c>
    </row>
    <row r="89" customFormat="false" ht="15" hidden="false" customHeight="false" outlineLevel="0" collapsed="false">
      <c r="O89" s="48" t="s">
        <v>234</v>
      </c>
      <c r="P89" s="19" t="str">
        <f aca="false">IF(ISNUMBER(P88),INDEX(A81:A83,MATCH(P88,AA81:AA83,0))&amp;" و "&amp;INDEX(C80:E80,MATCH(P88,INDEX(R81:T83,MATCH(P88,AA81:AA83,0),0),0)),"")</f>
        <v>گ۱۹ و گ۲۰</v>
      </c>
    </row>
    <row r="91" customFormat="false" ht="15" hidden="false" customHeight="false" outlineLevel="0" collapsed="false">
      <c r="A91" s="45" t="s">
        <v>243</v>
      </c>
      <c r="B91" s="45"/>
      <c r="C91" s="45"/>
      <c r="D91" s="45"/>
      <c r="E91" s="45"/>
      <c r="F91" s="45"/>
      <c r="G91" s="45"/>
      <c r="H91" s="45"/>
      <c r="I91" s="45"/>
      <c r="J91" s="45"/>
      <c r="K91" s="45"/>
      <c r="L91" s="45"/>
      <c r="M91" s="45"/>
      <c r="Q91" s="46" t="s">
        <v>224</v>
      </c>
      <c r="R91" s="46"/>
      <c r="S91" s="46"/>
      <c r="T91" s="46"/>
      <c r="U91" s="46"/>
      <c r="V91" s="46"/>
      <c r="W91" s="46"/>
      <c r="X91" s="46"/>
      <c r="Y91" s="46"/>
      <c r="Z91" s="46"/>
      <c r="AA91" s="46"/>
    </row>
    <row r="92" customFormat="false" ht="27.75" hidden="false" customHeight="true" outlineLevel="0" collapsed="false">
      <c r="A92" s="8" t="s">
        <v>199</v>
      </c>
      <c r="B92" s="8" t="s">
        <v>225</v>
      </c>
      <c r="C92" s="8" t="s">
        <v>159</v>
      </c>
      <c r="D92" s="8" t="s">
        <v>161</v>
      </c>
      <c r="E92" s="8" t="s">
        <v>163</v>
      </c>
      <c r="L92" s="7" t="s">
        <v>226</v>
      </c>
      <c r="M92" s="8" t="s">
        <v>227</v>
      </c>
      <c r="Q92" s="8" t="s">
        <v>199</v>
      </c>
      <c r="R92" s="8" t="s">
        <v>159</v>
      </c>
      <c r="S92" s="8" t="s">
        <v>161</v>
      </c>
      <c r="T92" s="8" t="s">
        <v>163</v>
      </c>
      <c r="AA92" s="47" t="s">
        <v>228</v>
      </c>
    </row>
    <row r="93" customFormat="false" ht="27" hidden="false" customHeight="true" outlineLevel="0" collapsed="false">
      <c r="A93" s="19" t="s">
        <v>159</v>
      </c>
      <c r="B93" s="9" t="s">
        <v>160</v>
      </c>
      <c r="C93" s="31" t="n">
        <v>1</v>
      </c>
      <c r="D93" s="31" t="n">
        <f aca="false">نسبت!H72</f>
        <v>1</v>
      </c>
      <c r="E93" s="31" t="n">
        <f aca="false">نسبت!H73</f>
        <v>2</v>
      </c>
      <c r="L93" s="37" t="n">
        <f aca="false">IF($P$94=$P$93*($P$93-1)/2,GEOMEAN(C93:E93),"")</f>
        <v>1.25992104989487</v>
      </c>
      <c r="M93" s="36" t="n">
        <f aca="false">IF($P$94=$P$93*($P$93-1)/2,L93/SUM($L$93:$L$95),"")</f>
        <v>0.4</v>
      </c>
      <c r="O93" s="48" t="s">
        <v>229</v>
      </c>
      <c r="P93" s="11" t="n">
        <f aca="false">ROWS(A93:A95)</f>
        <v>3</v>
      </c>
      <c r="Q93" s="8" t="s">
        <v>159</v>
      </c>
      <c r="S93" s="30" t="n">
        <f aca="false">IF(AND(ISNUMBER(D93),ISNUMBER($M93),ISNUMBER($M94)),MAX(D93*$M94/$M93,$M93/(D93*$M94)),"")</f>
        <v>1</v>
      </c>
      <c r="T93" s="30" t="n">
        <f aca="false">IF(AND(ISNUMBER(E93),ISNUMBER($M93),ISNUMBER($M95)),MAX(E93*$M95/$M93,$M93/(E93*$M95)),"")</f>
        <v>1</v>
      </c>
      <c r="AA93" s="49" t="n">
        <f aca="false">IF(COUNT(R93:T93)=0,"",MAX(R93:T93))</f>
        <v>1</v>
      </c>
    </row>
    <row r="94" customFormat="false" ht="27" hidden="false" customHeight="true" outlineLevel="0" collapsed="false">
      <c r="A94" s="19" t="s">
        <v>161</v>
      </c>
      <c r="B94" s="9" t="s">
        <v>162</v>
      </c>
      <c r="C94" s="31" t="n">
        <f aca="false">IF(ISNUMBER(D93),1/D93,"")</f>
        <v>1</v>
      </c>
      <c r="D94" s="31" t="n">
        <v>1</v>
      </c>
      <c r="E94" s="31" t="n">
        <f aca="false">نسبت!H74</f>
        <v>2</v>
      </c>
      <c r="L94" s="37" t="n">
        <f aca="false">IF($P$94=$P$93*($P$93-1)/2,GEOMEAN(C94:E94),"")</f>
        <v>1.25992104989487</v>
      </c>
      <c r="M94" s="36" t="n">
        <f aca="false">IF($P$94=$P$93*($P$93-1)/2,L94/SUM($L$93:$L$95),"")</f>
        <v>0.4</v>
      </c>
      <c r="O94" s="48" t="s">
        <v>230</v>
      </c>
      <c r="P94" s="11" t="n">
        <f aca="false">(COUNT(C93:E95)-$P$93)/2</f>
        <v>3</v>
      </c>
      <c r="Q94" s="8" t="s">
        <v>161</v>
      </c>
      <c r="T94" s="30" t="n">
        <f aca="false">IF(AND(ISNUMBER(E94),ISNUMBER($M94),ISNUMBER($M95)),MAX(E94*$M95/$M94,$M94/(E94*$M95)),"")</f>
        <v>1</v>
      </c>
      <c r="AA94" s="49" t="n">
        <f aca="false">IF(COUNT(R94:T94)=0,"",MAX(R94:T94))</f>
        <v>1</v>
      </c>
    </row>
    <row r="95" customFormat="false" ht="27" hidden="false" customHeight="true" outlineLevel="0" collapsed="false">
      <c r="A95" s="19" t="s">
        <v>163</v>
      </c>
      <c r="B95" s="9" t="s">
        <v>164</v>
      </c>
      <c r="C95" s="31" t="n">
        <f aca="false">IF(ISNUMBER(E93),1/E93,"")</f>
        <v>0.5</v>
      </c>
      <c r="D95" s="31" t="n">
        <f aca="false">IF(ISNUMBER(E94),1/E94,"")</f>
        <v>0.5</v>
      </c>
      <c r="E95" s="31" t="n">
        <v>1</v>
      </c>
      <c r="L95" s="37" t="n">
        <f aca="false">IF($P$94=$P$93*($P$93-1)/2,GEOMEAN(C95:E95),"")</f>
        <v>0.629960524947437</v>
      </c>
      <c r="M95" s="36" t="n">
        <f aca="false">IF($P$94=$P$93*($P$93-1)/2,L95/SUM($L$93:$L$95),"")</f>
        <v>0.2</v>
      </c>
      <c r="O95" s="48" t="s">
        <v>231</v>
      </c>
      <c r="P95" s="37" t="n">
        <f aca="false">IF($P$94=$P$93*($P$93-1)/2,SUMPRODUCT(C96:E96,C97:E97),"")</f>
        <v>3</v>
      </c>
      <c r="Q95" s="8" t="s">
        <v>163</v>
      </c>
    </row>
    <row r="96" customFormat="false" ht="15" hidden="false" customHeight="false" outlineLevel="0" collapsed="false">
      <c r="A96" s="50"/>
      <c r="B96" s="51" t="s">
        <v>235</v>
      </c>
      <c r="C96" s="52" t="n">
        <f aca="false">IF($P$94=$P$93*($P$93-1)/2,SUM(C93:C95),"")</f>
        <v>2.5</v>
      </c>
      <c r="D96" s="52" t="n">
        <f aca="false">IF($P$94=$P$93*($P$93-1)/2,SUM(D93:D95),"")</f>
        <v>2.5</v>
      </c>
      <c r="E96" s="52" t="n">
        <f aca="false">IF($P$94=$P$93*($P$93-1)/2,SUM(E93:E95),"")</f>
        <v>5</v>
      </c>
      <c r="M96" s="53" t="n">
        <f aca="false">IF($P$94=$P$93*($P$93-1)/2,SUM(M93:M95),"")</f>
        <v>1</v>
      </c>
      <c r="O96" s="48" t="s">
        <v>48</v>
      </c>
      <c r="P96" s="37" t="n">
        <f aca="false">IF(ISNUMBER(P95),(P95-$P$93)/($P$93-1),"")</f>
        <v>0</v>
      </c>
    </row>
    <row r="97" customFormat="false" ht="15" hidden="false" customHeight="false" outlineLevel="0" collapsed="false">
      <c r="A97" s="50"/>
      <c r="B97" s="51" t="s">
        <v>236</v>
      </c>
      <c r="C97" s="53" t="n">
        <f aca="false">M93</f>
        <v>0.4</v>
      </c>
      <c r="D97" s="53" t="n">
        <f aca="false">M94</f>
        <v>0.4</v>
      </c>
      <c r="E97" s="53" t="n">
        <f aca="false">M95</f>
        <v>0.2</v>
      </c>
      <c r="O97" s="48" t="s">
        <v>232</v>
      </c>
      <c r="P97" s="30" t="n">
        <f aca="false">INDEX(راهنما!$C$29:$C$38,MATCH($P$93,راهنما!$B$29:$B$38,0))</f>
        <v>0.58</v>
      </c>
    </row>
    <row r="98" customFormat="false" ht="15" hidden="false" customHeight="false" outlineLevel="0" collapsed="false">
      <c r="O98" s="48" t="s">
        <v>50</v>
      </c>
      <c r="P98" s="41" t="n">
        <f aca="false">IF(ISNUMBER(P96),IF(P97=0,0,MAX(0,P96)/P97),"")</f>
        <v>0</v>
      </c>
    </row>
    <row r="99" customFormat="false" ht="15" hidden="false" customHeight="false" outlineLevel="0" collapsed="false">
      <c r="O99" s="48" t="s">
        <v>83</v>
      </c>
      <c r="P99" s="10" t="str">
        <f aca="false">IF(NOT($P$94=$P$93*($P$93-1)/2),"ناقص",IF(P98&lt;=$P$3,"سازگار","ناسازگار"))</f>
        <v>سازگار</v>
      </c>
    </row>
    <row r="100" customFormat="false" ht="15" hidden="false" customHeight="false" outlineLevel="0" collapsed="false">
      <c r="O100" s="48" t="s">
        <v>233</v>
      </c>
      <c r="P100" s="30" t="n">
        <f aca="false">IF(COUNT(AA93:AA95)=0,"",MAX(AA93:AA95))</f>
        <v>1</v>
      </c>
    </row>
    <row r="101" customFormat="false" ht="15" hidden="false" customHeight="false" outlineLevel="0" collapsed="false">
      <c r="O101" s="48" t="s">
        <v>234</v>
      </c>
      <c r="P101" s="19" t="str">
        <f aca="false">IF(ISNUMBER(P100),INDEX(A93:A95,MATCH(P100,AA93:AA95,0))&amp;" و "&amp;INDEX(C92:E92,MATCH(P100,INDEX(R93:T95,MATCH(P100,AA93:AA95,0),0),0)),"")</f>
        <v>گ۲۲ و گ۲۳</v>
      </c>
    </row>
    <row r="103" customFormat="false" ht="15" hidden="false" customHeight="false" outlineLevel="0" collapsed="false">
      <c r="A103" s="45" t="s">
        <v>244</v>
      </c>
      <c r="B103" s="45"/>
      <c r="C103" s="45"/>
      <c r="D103" s="45"/>
      <c r="E103" s="45"/>
      <c r="F103" s="45"/>
      <c r="G103" s="45"/>
      <c r="H103" s="45"/>
      <c r="I103" s="45"/>
      <c r="J103" s="45"/>
      <c r="K103" s="45"/>
      <c r="L103" s="45"/>
      <c r="M103" s="45"/>
      <c r="Q103" s="46" t="s">
        <v>224</v>
      </c>
      <c r="R103" s="46"/>
      <c r="S103" s="46"/>
      <c r="T103" s="46"/>
      <c r="U103" s="46"/>
      <c r="V103" s="46"/>
      <c r="W103" s="46"/>
      <c r="X103" s="46"/>
      <c r="Y103" s="46"/>
      <c r="Z103" s="46"/>
      <c r="AA103" s="46"/>
    </row>
    <row r="104" customFormat="false" ht="27.75" hidden="false" customHeight="true" outlineLevel="0" collapsed="false">
      <c r="A104" s="8" t="s">
        <v>199</v>
      </c>
      <c r="B104" s="8" t="s">
        <v>225</v>
      </c>
      <c r="C104" s="8" t="s">
        <v>165</v>
      </c>
      <c r="D104" s="8" t="s">
        <v>167</v>
      </c>
      <c r="E104" s="8" t="s">
        <v>169</v>
      </c>
      <c r="L104" s="7" t="s">
        <v>226</v>
      </c>
      <c r="M104" s="8" t="s">
        <v>227</v>
      </c>
      <c r="Q104" s="8" t="s">
        <v>199</v>
      </c>
      <c r="R104" s="8" t="s">
        <v>165</v>
      </c>
      <c r="S104" s="8" t="s">
        <v>167</v>
      </c>
      <c r="T104" s="8" t="s">
        <v>169</v>
      </c>
      <c r="AA104" s="47" t="s">
        <v>228</v>
      </c>
    </row>
    <row r="105" customFormat="false" ht="27" hidden="false" customHeight="true" outlineLevel="0" collapsed="false">
      <c r="A105" s="19" t="s">
        <v>165</v>
      </c>
      <c r="B105" s="9" t="s">
        <v>166</v>
      </c>
      <c r="C105" s="31" t="n">
        <v>1</v>
      </c>
      <c r="D105" s="31" t="n">
        <f aca="false">نسبت!H75</f>
        <v>2</v>
      </c>
      <c r="E105" s="31" t="n">
        <f aca="false">نسبت!H76</f>
        <v>2</v>
      </c>
      <c r="L105" s="37" t="n">
        <f aca="false">IF($P$106=$P$105*($P$105-1)/2,GEOMEAN(C105:E105),"")</f>
        <v>1.5874010519682</v>
      </c>
      <c r="M105" s="36" t="n">
        <f aca="false">IF($P$106=$P$105*($P$105-1)/2,L105/SUM($L$105:$L$107),"")</f>
        <v>0.5</v>
      </c>
      <c r="O105" s="48" t="s">
        <v>229</v>
      </c>
      <c r="P105" s="11" t="n">
        <f aca="false">ROWS(A105:A107)</f>
        <v>3</v>
      </c>
      <c r="Q105" s="8" t="s">
        <v>165</v>
      </c>
      <c r="S105" s="30" t="n">
        <f aca="false">IF(AND(ISNUMBER(D105),ISNUMBER($M105),ISNUMBER($M106)),MAX(D105*$M106/$M105,$M105/(D105*$M106)),"")</f>
        <v>1</v>
      </c>
      <c r="T105" s="30" t="n">
        <f aca="false">IF(AND(ISNUMBER(E105),ISNUMBER($M105),ISNUMBER($M107)),MAX(E105*$M107/$M105,$M105/(E105*$M107)),"")</f>
        <v>1</v>
      </c>
      <c r="AA105" s="49" t="n">
        <f aca="false">IF(COUNT(R105:T105)=0,"",MAX(R105:T105))</f>
        <v>1</v>
      </c>
    </row>
    <row r="106" customFormat="false" ht="27" hidden="false" customHeight="true" outlineLevel="0" collapsed="false">
      <c r="A106" s="19" t="s">
        <v>167</v>
      </c>
      <c r="B106" s="9" t="s">
        <v>168</v>
      </c>
      <c r="C106" s="31" t="n">
        <f aca="false">IF(ISNUMBER(D105),1/D105,"")</f>
        <v>0.5</v>
      </c>
      <c r="D106" s="31" t="n">
        <v>1</v>
      </c>
      <c r="E106" s="31" t="n">
        <f aca="false">نسبت!H77</f>
        <v>1</v>
      </c>
      <c r="L106" s="37" t="n">
        <f aca="false">IF($P$106=$P$105*($P$105-1)/2,GEOMEAN(C106:E106),"")</f>
        <v>0.7937005259841</v>
      </c>
      <c r="M106" s="36" t="n">
        <f aca="false">IF($P$106=$P$105*($P$105-1)/2,L106/SUM($L$105:$L$107),"")</f>
        <v>0.25</v>
      </c>
      <c r="O106" s="48" t="s">
        <v>230</v>
      </c>
      <c r="P106" s="11" t="n">
        <f aca="false">(COUNT(C105:E107)-$P$105)/2</f>
        <v>3</v>
      </c>
      <c r="Q106" s="8" t="s">
        <v>167</v>
      </c>
      <c r="T106" s="30" t="n">
        <f aca="false">IF(AND(ISNUMBER(E106),ISNUMBER($M106),ISNUMBER($M107)),MAX(E106*$M107/$M106,$M106/(E106*$M107)),"")</f>
        <v>1</v>
      </c>
      <c r="AA106" s="49" t="n">
        <f aca="false">IF(COUNT(R106:T106)=0,"",MAX(R106:T106))</f>
        <v>1</v>
      </c>
    </row>
    <row r="107" customFormat="false" ht="27" hidden="false" customHeight="true" outlineLevel="0" collapsed="false">
      <c r="A107" s="19" t="s">
        <v>169</v>
      </c>
      <c r="B107" s="9" t="s">
        <v>170</v>
      </c>
      <c r="C107" s="31" t="n">
        <f aca="false">IF(ISNUMBER(E105),1/E105,"")</f>
        <v>0.5</v>
      </c>
      <c r="D107" s="31" t="n">
        <f aca="false">IF(ISNUMBER(E106),1/E106,"")</f>
        <v>1</v>
      </c>
      <c r="E107" s="31" t="n">
        <v>1</v>
      </c>
      <c r="L107" s="37" t="n">
        <f aca="false">IF($P$106=$P$105*($P$105-1)/2,GEOMEAN(C107:E107),"")</f>
        <v>0.7937005259841</v>
      </c>
      <c r="M107" s="36" t="n">
        <f aca="false">IF($P$106=$P$105*($P$105-1)/2,L107/SUM($L$105:$L$107),"")</f>
        <v>0.25</v>
      </c>
      <c r="O107" s="48" t="s">
        <v>231</v>
      </c>
      <c r="P107" s="37" t="n">
        <f aca="false">IF($P$106=$P$105*($P$105-1)/2,SUMPRODUCT(C108:E108,C109:E109),"")</f>
        <v>3</v>
      </c>
      <c r="Q107" s="8" t="s">
        <v>169</v>
      </c>
    </row>
    <row r="108" customFormat="false" ht="15" hidden="false" customHeight="false" outlineLevel="0" collapsed="false">
      <c r="A108" s="50"/>
      <c r="B108" s="51" t="s">
        <v>235</v>
      </c>
      <c r="C108" s="52" t="n">
        <f aca="false">IF($P$106=$P$105*($P$105-1)/2,SUM(C105:C107),"")</f>
        <v>2</v>
      </c>
      <c r="D108" s="52" t="n">
        <f aca="false">IF($P$106=$P$105*($P$105-1)/2,SUM(D105:D107),"")</f>
        <v>4</v>
      </c>
      <c r="E108" s="52" t="n">
        <f aca="false">IF($P$106=$P$105*($P$105-1)/2,SUM(E105:E107),"")</f>
        <v>4</v>
      </c>
      <c r="M108" s="53" t="n">
        <f aca="false">IF($P$106=$P$105*($P$105-1)/2,SUM(M105:M107),"")</f>
        <v>1</v>
      </c>
      <c r="O108" s="48" t="s">
        <v>48</v>
      </c>
      <c r="P108" s="37" t="n">
        <f aca="false">IF(ISNUMBER(P107),(P107-$P$105)/($P$105-1),"")</f>
        <v>0</v>
      </c>
    </row>
    <row r="109" customFormat="false" ht="15" hidden="false" customHeight="false" outlineLevel="0" collapsed="false">
      <c r="A109" s="50"/>
      <c r="B109" s="51" t="s">
        <v>236</v>
      </c>
      <c r="C109" s="53" t="n">
        <f aca="false">M105</f>
        <v>0.5</v>
      </c>
      <c r="D109" s="53" t="n">
        <f aca="false">M106</f>
        <v>0.25</v>
      </c>
      <c r="E109" s="53" t="n">
        <f aca="false">M107</f>
        <v>0.25</v>
      </c>
      <c r="O109" s="48" t="s">
        <v>232</v>
      </c>
      <c r="P109" s="30" t="n">
        <f aca="false">INDEX(راهنما!$C$29:$C$38,MATCH($P$105,راهنما!$B$29:$B$38,0))</f>
        <v>0.58</v>
      </c>
    </row>
    <row r="110" customFormat="false" ht="15" hidden="false" customHeight="false" outlineLevel="0" collapsed="false">
      <c r="O110" s="48" t="s">
        <v>50</v>
      </c>
      <c r="P110" s="41" t="n">
        <f aca="false">IF(ISNUMBER(P108),IF(P109=0,0,MAX(0,P108)/P109),"")</f>
        <v>0</v>
      </c>
    </row>
    <row r="111" customFormat="false" ht="15" hidden="false" customHeight="false" outlineLevel="0" collapsed="false">
      <c r="O111" s="48" t="s">
        <v>83</v>
      </c>
      <c r="P111" s="10" t="str">
        <f aca="false">IF(NOT($P$106=$P$105*($P$105-1)/2),"ناقص",IF(P110&lt;=$P$3,"سازگار","ناسازگار"))</f>
        <v>سازگار</v>
      </c>
    </row>
    <row r="112" customFormat="false" ht="15" hidden="false" customHeight="false" outlineLevel="0" collapsed="false">
      <c r="O112" s="48" t="s">
        <v>233</v>
      </c>
      <c r="P112" s="30" t="n">
        <f aca="false">IF(COUNT(AA105:AA107)=0,"",MAX(AA105:AA107))</f>
        <v>1</v>
      </c>
    </row>
    <row r="113" customFormat="false" ht="15" hidden="false" customHeight="false" outlineLevel="0" collapsed="false">
      <c r="O113" s="48" t="s">
        <v>234</v>
      </c>
      <c r="P113" s="19" t="str">
        <f aca="false">IF(ISNUMBER(P112),INDEX(A105:A107,MATCH(P112,AA105:AA107,0))&amp;" و "&amp;INDEX(C104:E104,MATCH(P112,INDEX(R105:T107,MATCH(P112,AA105:AA107,0),0),0)),"")</f>
        <v>گ۲۵ و گ۲۶</v>
      </c>
    </row>
    <row r="115" customFormat="false" ht="15" hidden="false" customHeight="false" outlineLevel="0" collapsed="false">
      <c r="A115" s="45" t="s">
        <v>245</v>
      </c>
      <c r="B115" s="45"/>
      <c r="C115" s="45"/>
      <c r="D115" s="45"/>
      <c r="E115" s="45"/>
      <c r="F115" s="45"/>
      <c r="G115" s="45"/>
      <c r="H115" s="45"/>
      <c r="I115" s="45"/>
      <c r="J115" s="45"/>
      <c r="K115" s="45"/>
      <c r="L115" s="45"/>
      <c r="M115" s="45"/>
      <c r="Q115" s="46" t="s">
        <v>224</v>
      </c>
      <c r="R115" s="46"/>
      <c r="S115" s="46"/>
      <c r="T115" s="46"/>
      <c r="U115" s="46"/>
      <c r="V115" s="46"/>
      <c r="W115" s="46"/>
      <c r="X115" s="46"/>
      <c r="Y115" s="46"/>
      <c r="Z115" s="46"/>
      <c r="AA115" s="46"/>
    </row>
    <row r="116" customFormat="false" ht="27.75" hidden="false" customHeight="true" outlineLevel="0" collapsed="false">
      <c r="A116" s="8" t="s">
        <v>199</v>
      </c>
      <c r="B116" s="8" t="s">
        <v>225</v>
      </c>
      <c r="C116" s="8" t="s">
        <v>171</v>
      </c>
      <c r="D116" s="8" t="s">
        <v>173</v>
      </c>
      <c r="L116" s="7" t="s">
        <v>226</v>
      </c>
      <c r="M116" s="8" t="s">
        <v>227</v>
      </c>
      <c r="Q116" s="8" t="s">
        <v>199</v>
      </c>
      <c r="R116" s="8" t="s">
        <v>171</v>
      </c>
      <c r="S116" s="8" t="s">
        <v>173</v>
      </c>
      <c r="AA116" s="47" t="s">
        <v>228</v>
      </c>
    </row>
    <row r="117" customFormat="false" ht="27" hidden="false" customHeight="true" outlineLevel="0" collapsed="false">
      <c r="A117" s="19" t="s">
        <v>171</v>
      </c>
      <c r="B117" s="9" t="s">
        <v>172</v>
      </c>
      <c r="C117" s="31" t="n">
        <v>1</v>
      </c>
      <c r="D117" s="31" t="n">
        <f aca="false">نسبت!H78</f>
        <v>2</v>
      </c>
      <c r="L117" s="37" t="n">
        <f aca="false">IF($P$118=$P$117*($P$117-1)/2,GEOMEAN(C117:D117),"")</f>
        <v>1.4142135623731</v>
      </c>
      <c r="M117" s="36" t="n">
        <f aca="false">IF($P$118=$P$117*($P$117-1)/2,L117/SUM($L$117:$L$118),"")</f>
        <v>0.666666666666667</v>
      </c>
      <c r="O117" s="48" t="s">
        <v>229</v>
      </c>
      <c r="P117" s="11" t="n">
        <f aca="false">ROWS(A117:A118)</f>
        <v>2</v>
      </c>
      <c r="Q117" s="8" t="s">
        <v>171</v>
      </c>
      <c r="S117" s="30" t="n">
        <f aca="false">IF(AND(ISNUMBER(D117),ISNUMBER($M117),ISNUMBER($M118)),MAX(D117*$M118/$M117,$M117/(D117*$M118)),"")</f>
        <v>1</v>
      </c>
      <c r="AA117" s="49" t="n">
        <f aca="false">IF(COUNT(R117:S117)=0,"",MAX(R117:S117))</f>
        <v>1</v>
      </c>
    </row>
    <row r="118" customFormat="false" ht="27" hidden="false" customHeight="true" outlineLevel="0" collapsed="false">
      <c r="A118" s="19" t="s">
        <v>173</v>
      </c>
      <c r="B118" s="9" t="s">
        <v>174</v>
      </c>
      <c r="C118" s="31" t="n">
        <f aca="false">IF(ISNUMBER(D117),1/D117,"")</f>
        <v>0.5</v>
      </c>
      <c r="D118" s="31" t="n">
        <v>1</v>
      </c>
      <c r="L118" s="37" t="n">
        <f aca="false">IF($P$118=$P$117*($P$117-1)/2,GEOMEAN(C118:D118),"")</f>
        <v>0.707106781186548</v>
      </c>
      <c r="M118" s="36" t="n">
        <f aca="false">IF($P$118=$P$117*($P$117-1)/2,L118/SUM($L$117:$L$118),"")</f>
        <v>0.333333333333333</v>
      </c>
      <c r="O118" s="48" t="s">
        <v>230</v>
      </c>
      <c r="P118" s="11" t="n">
        <f aca="false">(COUNT(C117:D118)-$P$117)/2</f>
        <v>1</v>
      </c>
      <c r="Q118" s="8" t="s">
        <v>173</v>
      </c>
    </row>
    <row r="119" customFormat="false" ht="15" hidden="false" customHeight="false" outlineLevel="0" collapsed="false">
      <c r="A119" s="50"/>
      <c r="B119" s="51" t="s">
        <v>235</v>
      </c>
      <c r="C119" s="52" t="n">
        <f aca="false">IF($P$118=$P$117*($P$117-1)/2,SUM(C117:C118),"")</f>
        <v>1.5</v>
      </c>
      <c r="D119" s="52" t="n">
        <f aca="false">IF($P$118=$P$117*($P$117-1)/2,SUM(D117:D118),"")</f>
        <v>3</v>
      </c>
      <c r="M119" s="53" t="n">
        <f aca="false">IF($P$118=$P$117*($P$117-1)/2,SUM(M117:M118),"")</f>
        <v>1</v>
      </c>
      <c r="O119" s="48" t="s">
        <v>231</v>
      </c>
      <c r="P119" s="37" t="n">
        <f aca="false">IF($P$118=$P$117*($P$117-1)/2,SUMPRODUCT(C119:D119,C120:D120),"")</f>
        <v>2</v>
      </c>
    </row>
    <row r="120" customFormat="false" ht="15" hidden="false" customHeight="false" outlineLevel="0" collapsed="false">
      <c r="A120" s="50"/>
      <c r="B120" s="51" t="s">
        <v>236</v>
      </c>
      <c r="C120" s="53" t="n">
        <f aca="false">M117</f>
        <v>0.666666666666667</v>
      </c>
      <c r="D120" s="53" t="n">
        <f aca="false">M118</f>
        <v>0.333333333333333</v>
      </c>
      <c r="O120" s="48" t="s">
        <v>48</v>
      </c>
      <c r="P120" s="37" t="n">
        <f aca="false">IF(ISNUMBER(P119),(P119-$P$117)/($P$117-1),"")</f>
        <v>0</v>
      </c>
    </row>
    <row r="121" customFormat="false" ht="15" hidden="false" customHeight="false" outlineLevel="0" collapsed="false">
      <c r="O121" s="48" t="s">
        <v>232</v>
      </c>
      <c r="P121" s="30" t="n">
        <f aca="false">INDEX(راهنما!$C$29:$C$38,MATCH($P$117,راهنما!$B$29:$B$38,0))</f>
        <v>0</v>
      </c>
    </row>
    <row r="122" customFormat="false" ht="15" hidden="false" customHeight="false" outlineLevel="0" collapsed="false">
      <c r="O122" s="48" t="s">
        <v>50</v>
      </c>
      <c r="P122" s="41" t="n">
        <f aca="false">IF(ISNUMBER(P120),IF(P121=0,0,MAX(0,P120)/P121),"")</f>
        <v>0</v>
      </c>
    </row>
    <row r="123" customFormat="false" ht="15" hidden="false" customHeight="false" outlineLevel="0" collapsed="false">
      <c r="O123" s="48" t="s">
        <v>83</v>
      </c>
      <c r="P123" s="10" t="str">
        <f aca="false">IF(NOT($P$118=$P$117*($P$117-1)/2),"ناقص",IF(P122&lt;=$P$3,"سازگار","ناسازگار"))</f>
        <v>سازگار</v>
      </c>
    </row>
    <row r="124" customFormat="false" ht="15" hidden="false" customHeight="false" outlineLevel="0" collapsed="false">
      <c r="O124" s="48" t="s">
        <v>233</v>
      </c>
      <c r="P124" s="30" t="n">
        <f aca="false">IF(COUNT(AA117:AA118)=0,"",MAX(AA117:AA118))</f>
        <v>1</v>
      </c>
    </row>
    <row r="125" customFormat="false" ht="15" hidden="false" customHeight="false" outlineLevel="0" collapsed="false">
      <c r="O125" s="48" t="s">
        <v>234</v>
      </c>
      <c r="P125" s="19" t="str">
        <f aca="false">IF(ISNUMBER(P124),INDEX(A117:A118,MATCH(P124,AA117:AA118,0))&amp;" و "&amp;INDEX(C116:D116,MATCH(P124,INDEX(R117:S118,MATCH(P124,AA117:AA118,0),0),0)),"")</f>
        <v>گ۲۸ و گ۲۹</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251</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2" t="s">
        <v>252</v>
      </c>
    </row>
    <row r="3" customFormat="false" ht="15" hidden="false" customHeight="false" outlineLevel="0" collapsed="false">
      <c r="A3" s="43" t="s">
        <v>248</v>
      </c>
      <c r="B3" s="54" t="n">
        <f aca="false">COUNT(ورودی!I9:I78)</f>
        <v>70</v>
      </c>
      <c r="O3" s="25" t="s">
        <v>177</v>
      </c>
      <c r="P3" s="30" t="n">
        <f aca="false">راهنما!$C$26</f>
        <v>0.1</v>
      </c>
    </row>
    <row r="5" customFormat="false" ht="15" hidden="false" customHeight="false" outlineLevel="0" collapsed="false">
      <c r="A5" s="45" t="s">
        <v>223</v>
      </c>
      <c r="B5" s="45"/>
      <c r="C5" s="45"/>
      <c r="D5" s="45"/>
      <c r="E5" s="45"/>
      <c r="F5" s="45"/>
      <c r="G5" s="45"/>
      <c r="H5" s="45"/>
      <c r="I5" s="45"/>
      <c r="J5" s="45"/>
      <c r="K5" s="45"/>
      <c r="L5" s="45"/>
      <c r="M5" s="45"/>
      <c r="Q5" s="46" t="s">
        <v>224</v>
      </c>
      <c r="R5" s="46"/>
      <c r="S5" s="46"/>
      <c r="T5" s="46"/>
      <c r="U5" s="46"/>
      <c r="V5" s="46"/>
      <c r="W5" s="46"/>
      <c r="X5" s="46"/>
      <c r="Y5" s="46"/>
      <c r="Z5" s="46"/>
      <c r="AA5" s="46"/>
    </row>
    <row r="6" customFormat="false" ht="27.75" hidden="false" customHeight="true" outlineLevel="0" collapsed="false">
      <c r="A6" s="8" t="s">
        <v>199</v>
      </c>
      <c r="B6" s="8" t="s">
        <v>225</v>
      </c>
      <c r="C6" s="8" t="s">
        <v>98</v>
      </c>
      <c r="D6" s="8" t="s">
        <v>100</v>
      </c>
      <c r="E6" s="8" t="s">
        <v>102</v>
      </c>
      <c r="F6" s="8" t="s">
        <v>104</v>
      </c>
      <c r="G6" s="8" t="s">
        <v>106</v>
      </c>
      <c r="H6" s="8" t="s">
        <v>108</v>
      </c>
      <c r="I6" s="8" t="s">
        <v>110</v>
      </c>
      <c r="J6" s="8" t="s">
        <v>112</v>
      </c>
      <c r="K6" s="8" t="s">
        <v>114</v>
      </c>
      <c r="L6" s="7" t="s">
        <v>226</v>
      </c>
      <c r="M6" s="8" t="s">
        <v>227</v>
      </c>
      <c r="Q6" s="8" t="s">
        <v>199</v>
      </c>
      <c r="R6" s="8" t="s">
        <v>98</v>
      </c>
      <c r="S6" s="8" t="s">
        <v>100</v>
      </c>
      <c r="T6" s="8" t="s">
        <v>102</v>
      </c>
      <c r="U6" s="8" t="s">
        <v>104</v>
      </c>
      <c r="V6" s="8" t="s">
        <v>106</v>
      </c>
      <c r="W6" s="8" t="s">
        <v>108</v>
      </c>
      <c r="X6" s="8" t="s">
        <v>110</v>
      </c>
      <c r="Y6" s="8" t="s">
        <v>112</v>
      </c>
      <c r="Z6" s="8" t="s">
        <v>114</v>
      </c>
      <c r="AA6" s="47" t="s">
        <v>228</v>
      </c>
    </row>
    <row r="7" customFormat="false" ht="27" hidden="false" customHeight="true" outlineLevel="0" collapsed="false">
      <c r="A7" s="19" t="s">
        <v>98</v>
      </c>
      <c r="B7" s="9" t="s">
        <v>99</v>
      </c>
      <c r="C7" s="31" t="n">
        <v>1</v>
      </c>
      <c r="D7" s="31" t="n">
        <f aca="false">نسبت!I9</f>
        <v>3</v>
      </c>
      <c r="E7" s="31" t="n">
        <f aca="false">نسبت!I10</f>
        <v>2</v>
      </c>
      <c r="F7" s="31" t="n">
        <f aca="false">نسبت!I11</f>
        <v>2</v>
      </c>
      <c r="G7" s="31" t="n">
        <f aca="false">نسبت!I12</f>
        <v>1</v>
      </c>
      <c r="H7" s="31" t="n">
        <f aca="false">نسبت!I13</f>
        <v>1</v>
      </c>
      <c r="I7" s="31" t="n">
        <f aca="false">نسبت!I14</f>
        <v>1</v>
      </c>
      <c r="J7" s="31" t="n">
        <f aca="false">نسبت!I15</f>
        <v>2</v>
      </c>
      <c r="K7" s="31" t="n">
        <f aca="false">نسبت!I16</f>
        <v>1</v>
      </c>
      <c r="L7" s="37" t="n">
        <f aca="false">IF($P$8=$P$7*($P$7-1)/2,GEOMEAN(C7:K7),"")</f>
        <v>1.42349781425291</v>
      </c>
      <c r="M7" s="36" t="n">
        <f aca="false">IF($P$8=$P$7*($P$7-1)/2,L7/SUM($L$7:$L$15),"")</f>
        <v>0.150336637579636</v>
      </c>
      <c r="O7" s="48" t="s">
        <v>229</v>
      </c>
      <c r="P7" s="11" t="n">
        <f aca="false">ROWS(A7:A15)</f>
        <v>9</v>
      </c>
      <c r="Q7" s="8" t="s">
        <v>98</v>
      </c>
      <c r="S7" s="30" t="n">
        <f aca="false">IF(AND(ISNUMBER(D7),ISNUMBER($M7),ISNUMBER($M8)),MAX(D7*$M8/$M7,$M7/(D7*$M8)),"")</f>
        <v>1.12330739539977</v>
      </c>
      <c r="T7" s="30" t="n">
        <f aca="false">IF(AND(ISNUMBER(E7),ISNUMBER($M7),ISNUMBER($M9)),MAX(E7*$M9/$M7,$M7/(E7*$M9)),"")</f>
        <v>1.20441910661166</v>
      </c>
      <c r="U7" s="30" t="n">
        <f aca="false">IF(AND(ISNUMBER(F7),ISNUMBER($M7),ISNUMBER($M10)),MAX(F7*$M10/$M7,$M7/(F7*$M10)),"")</f>
        <v>1.04608191864321</v>
      </c>
      <c r="V7" s="30" t="n">
        <f aca="false">IF(AND(ISNUMBER(G7),ISNUMBER($M7),ISNUMBER($M11)),MAX(G7*$M11/$M7,$M7/(G7*$M11)),"")</f>
        <v>1.22028493587281</v>
      </c>
      <c r="W7" s="30" t="n">
        <f aca="false">IF(AND(ISNUMBER(H7),ISNUMBER($M7),ISNUMBER($M12)),MAX(H7*$M12/$M7,$M7/(H7*$M12)),"")</f>
        <v>1.22028493587281</v>
      </c>
      <c r="X7" s="30" t="n">
        <f aca="false">IF(AND(ISNUMBER(I7),ISNUMBER($M7),ISNUMBER($M13)),MAX(I7*$M13/$M7,$M7/(I7*$M13)),"")</f>
        <v>1</v>
      </c>
      <c r="Y7" s="30" t="n">
        <f aca="false">IF(AND(ISNUMBER(J7),ISNUMBER($M7),ISNUMBER($M14)),MAX(J7*$M14/$M7,$M7/(J7*$M14)),"")</f>
        <v>1.20441910661166</v>
      </c>
      <c r="Z7" s="30" t="n">
        <f aca="false">IF(AND(ISNUMBER(K7),ISNUMBER($M7),ISNUMBER($M15)),MAX(K7*$M15/$M7,$M7/(K7*$M15)),"")</f>
        <v>1.04608191864321</v>
      </c>
      <c r="AA7" s="49" t="n">
        <f aca="false">IF(COUNT(R7:Z7)=0,"",MAX(R7:Z7))</f>
        <v>1.22028493587281</v>
      </c>
    </row>
    <row r="8" customFormat="false" ht="27" hidden="false" customHeight="true" outlineLevel="0" collapsed="false">
      <c r="A8" s="19" t="s">
        <v>100</v>
      </c>
      <c r="B8" s="9" t="s">
        <v>101</v>
      </c>
      <c r="C8" s="31" t="n">
        <f aca="false">IF(ISNUMBER(D7),1/D7,"")</f>
        <v>0.333333333333333</v>
      </c>
      <c r="D8" s="31" t="n">
        <v>1</v>
      </c>
      <c r="E8" s="31" t="n">
        <f aca="false">نسبت!I17</f>
        <v>0.5</v>
      </c>
      <c r="F8" s="31" t="n">
        <f aca="false">نسبت!I18</f>
        <v>1</v>
      </c>
      <c r="G8" s="31" t="n">
        <f aca="false">نسبت!I19</f>
        <v>0.5</v>
      </c>
      <c r="H8" s="31" t="n">
        <f aca="false">نسبت!I20</f>
        <v>0.5</v>
      </c>
      <c r="I8" s="31" t="n">
        <f aca="false">نسبت!I21</f>
        <v>0.333333333333333</v>
      </c>
      <c r="J8" s="31" t="n">
        <f aca="false">نسبت!I22</f>
        <v>0.5</v>
      </c>
      <c r="K8" s="31" t="n">
        <f aca="false">نسبت!I23</f>
        <v>0.5</v>
      </c>
      <c r="L8" s="37" t="n">
        <f aca="false">IF($P$8=$P$7*($P$7-1)/2,GEOMEAN(C8:K8),"")</f>
        <v>0.533008540695237</v>
      </c>
      <c r="M8" s="36" t="n">
        <f aca="false">IF($P$8=$P$7*($P$7-1)/2,L8/SUM($L$7:$L$15),"")</f>
        <v>0.0562914189309135</v>
      </c>
      <c r="O8" s="48" t="s">
        <v>230</v>
      </c>
      <c r="P8" s="11" t="n">
        <f aca="false">(COUNT(C7:K15)-$P$7)/2</f>
        <v>36</v>
      </c>
      <c r="Q8" s="8" t="s">
        <v>100</v>
      </c>
      <c r="T8" s="30" t="n">
        <f aca="false">IF(AND(ISNUMBER(E8),ISNUMBER($M8),ISNUMBER($M9)),MAX(E8*$M9/$M8,$M8/(E8*$M9)),"")</f>
        <v>1.24353988212617</v>
      </c>
      <c r="U8" s="30" t="n">
        <f aca="false">IF(AND(ISNUMBER(F8),ISNUMBER($M8),ISNUMBER($M10)),MAX(F8*$M10/$M8,$M8/(F8*$M10)),"")</f>
        <v>1.27651800700924</v>
      </c>
      <c r="V8" s="30" t="n">
        <f aca="false">IF(AND(ISNUMBER(G8),ISNUMBER($M8),ISNUMBER($M11)),MAX(G8*$M11/$M8,$M8/(G8*$M11)),"")</f>
        <v>1.09428738051227</v>
      </c>
      <c r="W8" s="30" t="n">
        <f aca="false">IF(AND(ISNUMBER(H8),ISNUMBER($M8),ISNUMBER($M12)),MAX(H8*$M12/$M8,$M8/(H8*$M12)),"")</f>
        <v>1.09428738051227</v>
      </c>
      <c r="X8" s="30" t="n">
        <f aca="false">IF(AND(ISNUMBER(I8),ISNUMBER($M8),ISNUMBER($M13)),MAX(I8*$M13/$M8,$M8/(I8*$M13)),"")</f>
        <v>1.12330739539977</v>
      </c>
      <c r="Y8" s="30" t="n">
        <f aca="false">IF(AND(ISNUMBER(J8),ISNUMBER($M8),ISNUMBER($M14)),MAX(J8*$M14/$M8,$M8/(J8*$M14)),"")</f>
        <v>1.24353988212617</v>
      </c>
      <c r="Z8" s="30" t="n">
        <f aca="false">IF(AND(ISNUMBER(K8),ISNUMBER($M8),ISNUMBER($M15)),MAX(K8*$M15/$M8,$M8/(K8*$M15)),"")</f>
        <v>1.27651800700924</v>
      </c>
      <c r="AA8" s="49" t="n">
        <f aca="false">IF(COUNT(R8:Z8)=0,"",MAX(R8:Z8))</f>
        <v>1.27651800700924</v>
      </c>
    </row>
    <row r="9" customFormat="false" ht="27" hidden="false" customHeight="true" outlineLevel="0" collapsed="false">
      <c r="A9" s="19" t="s">
        <v>102</v>
      </c>
      <c r="B9" s="9" t="s">
        <v>103</v>
      </c>
      <c r="C9" s="31" t="n">
        <f aca="false">IF(ISNUMBER(E7),1/E7,"")</f>
        <v>0.5</v>
      </c>
      <c r="D9" s="31" t="n">
        <f aca="false">IF(ISNUMBER(E8),1/E8,"")</f>
        <v>2</v>
      </c>
      <c r="E9" s="31" t="n">
        <v>1</v>
      </c>
      <c r="F9" s="31" t="n">
        <f aca="false">نسبت!I24</f>
        <v>1</v>
      </c>
      <c r="G9" s="31" t="n">
        <f aca="false">نسبت!I25</f>
        <v>1</v>
      </c>
      <c r="H9" s="31" t="n">
        <f aca="false">نسبت!I26</f>
        <v>1</v>
      </c>
      <c r="I9" s="31" t="n">
        <f aca="false">نسبت!I27</f>
        <v>0.5</v>
      </c>
      <c r="J9" s="31" t="n">
        <f aca="false">نسبت!I28</f>
        <v>1</v>
      </c>
      <c r="K9" s="31" t="n">
        <f aca="false">نسبت!I29</f>
        <v>0.5</v>
      </c>
      <c r="L9" s="37" t="n">
        <f aca="false">IF($P$8=$P$7*($P$7-1)/2,GEOMEAN(C9:K9),"")</f>
        <v>0.857243982853073</v>
      </c>
      <c r="M9" s="36" t="n">
        <f aca="false">IF($P$8=$P$7*($P$7-1)/2,L9/SUM($L$7:$L$15),"")</f>
        <v>0.090534159362333</v>
      </c>
      <c r="O9" s="48" t="s">
        <v>231</v>
      </c>
      <c r="P9" s="37" t="n">
        <f aca="false">IF($P$8=$P$7*($P$7-1)/2,SUMPRODUCT(C16:K16,C17:K17),"")</f>
        <v>9.1332958567813</v>
      </c>
      <c r="Q9" s="8" t="s">
        <v>102</v>
      </c>
      <c r="U9" s="30" t="n">
        <f aca="false">IF(AND(ISNUMBER(F9),ISNUMBER($M9),ISNUMBER($M10)),MAX(F9*$M10/$M9,$M9/(F9*$M10)),"")</f>
        <v>1.25992104989487</v>
      </c>
      <c r="V9" s="30" t="n">
        <f aca="false">IF(AND(ISNUMBER(G9),ISNUMBER($M9),ISNUMBER($M11)),MAX(G9*$M11/$M9,$M9/(G9*$M11)),"")</f>
        <v>1.36079000017438</v>
      </c>
      <c r="W9" s="30" t="n">
        <f aca="false">IF(AND(ISNUMBER(H9),ISNUMBER($M9),ISNUMBER($M12)),MAX(H9*$M12/$M9,$M9/(H9*$M12)),"")</f>
        <v>1.36079000017438</v>
      </c>
      <c r="X9" s="30" t="n">
        <f aca="false">IF(AND(ISNUMBER(I9),ISNUMBER($M9),ISNUMBER($M13)),MAX(I9*$M13/$M9,$M9/(I9*$M13)),"")</f>
        <v>1.20441910661166</v>
      </c>
      <c r="Y9" s="30" t="n">
        <f aca="false">IF(AND(ISNUMBER(J9),ISNUMBER($M9),ISNUMBER($M14)),MAX(J9*$M14/$M9,$M9/(J9*$M14)),"")</f>
        <v>1</v>
      </c>
      <c r="Z9" s="30" t="n">
        <f aca="false">IF(AND(ISNUMBER(K9),ISNUMBER($M9),ISNUMBER($M15)),MAX(K9*$M15/$M9,$M9/(K9*$M15)),"")</f>
        <v>1.25992104989487</v>
      </c>
      <c r="AA9" s="49" t="n">
        <f aca="false">IF(COUNT(R9:Z9)=0,"",MAX(R9:Z9))</f>
        <v>1.36079000017438</v>
      </c>
    </row>
    <row r="10" customFormat="false" ht="27" hidden="false" customHeight="true" outlineLevel="0" collapsed="false">
      <c r="A10" s="19" t="s">
        <v>104</v>
      </c>
      <c r="B10" s="9" t="s">
        <v>105</v>
      </c>
      <c r="C10" s="31" t="n">
        <f aca="false">IF(ISNUMBER(F7),1/F7,"")</f>
        <v>0.5</v>
      </c>
      <c r="D10" s="31" t="n">
        <f aca="false">IF(ISNUMBER(F8),1/F8,"")</f>
        <v>1</v>
      </c>
      <c r="E10" s="31" t="n">
        <f aca="false">IF(ISNUMBER(F9),1/F9,"")</f>
        <v>1</v>
      </c>
      <c r="F10" s="31" t="n">
        <v>1</v>
      </c>
      <c r="G10" s="31" t="n">
        <f aca="false">نسبت!I30</f>
        <v>0.5</v>
      </c>
      <c r="H10" s="31" t="n">
        <f aca="false">نسبت!I31</f>
        <v>0.5</v>
      </c>
      <c r="I10" s="31" t="n">
        <f aca="false">نسبت!I32</f>
        <v>0.5</v>
      </c>
      <c r="J10" s="31" t="n">
        <f aca="false">نسبت!I33</f>
        <v>1</v>
      </c>
      <c r="K10" s="31" t="n">
        <f aca="false">نسبت!I34</f>
        <v>0.5</v>
      </c>
      <c r="L10" s="37" t="n">
        <f aca="false">IF($P$8=$P$7*($P$7-1)/2,GEOMEAN(C10:K10),"")</f>
        <v>0.680395000087189</v>
      </c>
      <c r="M10" s="36" t="n">
        <f aca="false">IF($P$8=$P$7*($P$7-1)/2,L10/SUM($L$7:$L$15),"")</f>
        <v>0.071857009905412</v>
      </c>
      <c r="O10" s="48" t="s">
        <v>48</v>
      </c>
      <c r="P10" s="37" t="n">
        <f aca="false">IF(ISNUMBER(P9),(P9-$P$7)/($P$7-1),"")</f>
        <v>0.0166619820976621</v>
      </c>
      <c r="Q10" s="8" t="s">
        <v>104</v>
      </c>
      <c r="V10" s="30" t="n">
        <f aca="false">IF(AND(ISNUMBER(G10),ISNUMBER($M10),ISNUMBER($M11)),MAX(G10*$M11/$M10,$M10/(G10*$M11)),"")</f>
        <v>1.16652903957612</v>
      </c>
      <c r="W10" s="30" t="n">
        <f aca="false">IF(AND(ISNUMBER(H10),ISNUMBER($M10),ISNUMBER($M12)),MAX(H10*$M12/$M10,$M10/(H10*$M12)),"")</f>
        <v>1.16652903957612</v>
      </c>
      <c r="X10" s="30" t="n">
        <f aca="false">IF(AND(ISNUMBER(I10),ISNUMBER($M10),ISNUMBER($M13)),MAX(I10*$M13/$M10,$M10/(I10*$M13)),"")</f>
        <v>1.04608191864321</v>
      </c>
      <c r="Y10" s="30" t="n">
        <f aca="false">IF(AND(ISNUMBER(J10),ISNUMBER($M10),ISNUMBER($M14)),MAX(J10*$M14/$M10,$M10/(J10*$M14)),"")</f>
        <v>1.25992104989487</v>
      </c>
      <c r="Z10" s="30" t="n">
        <f aca="false">IF(AND(ISNUMBER(K10),ISNUMBER($M10),ISNUMBER($M15)),MAX(K10*$M15/$M10,$M10/(K10*$M15)),"")</f>
        <v>1</v>
      </c>
      <c r="AA10" s="49" t="n">
        <f aca="false">IF(COUNT(R10:Z10)=0,"",MAX(R10:Z10))</f>
        <v>1.25992104989487</v>
      </c>
    </row>
    <row r="11" customFormat="false" ht="27" hidden="false" customHeight="true" outlineLevel="0" collapsed="false">
      <c r="A11" s="19" t="s">
        <v>106</v>
      </c>
      <c r="B11" s="9" t="s">
        <v>107</v>
      </c>
      <c r="C11" s="31" t="n">
        <f aca="false">IF(ISNUMBER(G7),1/G7,"")</f>
        <v>1</v>
      </c>
      <c r="D11" s="31" t="n">
        <f aca="false">IF(ISNUMBER(G8),1/G8,"")</f>
        <v>2</v>
      </c>
      <c r="E11" s="31" t="n">
        <f aca="false">IF(ISNUMBER(G9),1/G9,"")</f>
        <v>1</v>
      </c>
      <c r="F11" s="31" t="n">
        <f aca="false">IF(ISNUMBER(G10),1/G10,"")</f>
        <v>2</v>
      </c>
      <c r="G11" s="31" t="n">
        <v>1</v>
      </c>
      <c r="H11" s="31" t="n">
        <f aca="false">نسبت!I35</f>
        <v>1</v>
      </c>
      <c r="I11" s="31" t="n">
        <f aca="false">نسبت!I36</f>
        <v>1</v>
      </c>
      <c r="J11" s="31" t="n">
        <f aca="false">نسبت!I37</f>
        <v>1</v>
      </c>
      <c r="K11" s="31" t="n">
        <f aca="false">نسبت!I38</f>
        <v>1</v>
      </c>
      <c r="L11" s="37" t="n">
        <f aca="false">IF($P$8=$P$7*($P$7-1)/2,GEOMEAN(C11:K11),"")</f>
        <v>1.16652903957612</v>
      </c>
      <c r="M11" s="36" t="n">
        <f aca="false">IF($P$8=$P$7*($P$7-1)/2,L11/SUM($L$7:$L$15),"")</f>
        <v>0.123197978734456</v>
      </c>
      <c r="O11" s="48" t="s">
        <v>232</v>
      </c>
      <c r="P11" s="30" t="n">
        <f aca="false">INDEX(راهنما!$C$29:$C$38,MATCH($P$7,راهنما!$B$29:$B$38,0))</f>
        <v>1.45</v>
      </c>
      <c r="Q11" s="8" t="s">
        <v>106</v>
      </c>
      <c r="W11" s="30" t="n">
        <f aca="false">IF(AND(ISNUMBER(H11),ISNUMBER($M11),ISNUMBER($M12)),MAX(H11*$M12/$M11,$M11/(H11*$M12)),"")</f>
        <v>1</v>
      </c>
      <c r="X11" s="30" t="n">
        <f aca="false">IF(AND(ISNUMBER(I11),ISNUMBER($M11),ISNUMBER($M13)),MAX(I11*$M13/$M11,$M11/(I11*$M13)),"")</f>
        <v>1.22028493587281</v>
      </c>
      <c r="Y11" s="30" t="n">
        <f aca="false">IF(AND(ISNUMBER(J11),ISNUMBER($M11),ISNUMBER($M14)),MAX(J11*$M14/$M11,$M11/(J11*$M14)),"")</f>
        <v>1.36079000017438</v>
      </c>
      <c r="Z11" s="30" t="n">
        <f aca="false">IF(AND(ISNUMBER(K11),ISNUMBER($M11),ISNUMBER($M15)),MAX(K11*$M15/$M11,$M11/(K11*$M15)),"")</f>
        <v>1.16652903957612</v>
      </c>
      <c r="AA11" s="49" t="n">
        <f aca="false">IF(COUNT(R11:Z11)=0,"",MAX(R11:Z11))</f>
        <v>1.36079000017438</v>
      </c>
    </row>
    <row r="12" customFormat="false" ht="27" hidden="false" customHeight="true" outlineLevel="0" collapsed="false">
      <c r="A12" s="19" t="s">
        <v>108</v>
      </c>
      <c r="B12" s="9" t="s">
        <v>109</v>
      </c>
      <c r="C12" s="31" t="n">
        <f aca="false">IF(ISNUMBER(H7),1/H7,"")</f>
        <v>1</v>
      </c>
      <c r="D12" s="31" t="n">
        <f aca="false">IF(ISNUMBER(H8),1/H8,"")</f>
        <v>2</v>
      </c>
      <c r="E12" s="31" t="n">
        <f aca="false">IF(ISNUMBER(H9),1/H9,"")</f>
        <v>1</v>
      </c>
      <c r="F12" s="31" t="n">
        <f aca="false">IF(ISNUMBER(H10),1/H10,"")</f>
        <v>2</v>
      </c>
      <c r="G12" s="31" t="n">
        <f aca="false">IF(ISNUMBER(H11),1/H11,"")</f>
        <v>1</v>
      </c>
      <c r="H12" s="31" t="n">
        <v>1</v>
      </c>
      <c r="I12" s="31" t="n">
        <f aca="false">نسبت!I39</f>
        <v>1</v>
      </c>
      <c r="J12" s="31" t="n">
        <f aca="false">نسبت!I40</f>
        <v>1</v>
      </c>
      <c r="K12" s="31" t="n">
        <f aca="false">نسبت!I41</f>
        <v>1</v>
      </c>
      <c r="L12" s="37" t="n">
        <f aca="false">IF($P$8=$P$7*($P$7-1)/2,GEOMEAN(C12:K12),"")</f>
        <v>1.16652903957612</v>
      </c>
      <c r="M12" s="36" t="n">
        <f aca="false">IF($P$8=$P$7*($P$7-1)/2,L12/SUM($L$7:$L$15),"")</f>
        <v>0.123197978734456</v>
      </c>
      <c r="O12" s="48" t="s">
        <v>50</v>
      </c>
      <c r="P12" s="41" t="n">
        <f aca="false">IF(ISNUMBER(P10),IF(P11=0,0,MAX(0,P10)/P11),"")</f>
        <v>0.0114910221363187</v>
      </c>
      <c r="Q12" s="8" t="s">
        <v>108</v>
      </c>
      <c r="X12" s="30" t="n">
        <f aca="false">IF(AND(ISNUMBER(I12),ISNUMBER($M12),ISNUMBER($M13)),MAX(I12*$M13/$M12,$M12/(I12*$M13)),"")</f>
        <v>1.22028493587281</v>
      </c>
      <c r="Y12" s="30" t="n">
        <f aca="false">IF(AND(ISNUMBER(J12),ISNUMBER($M12),ISNUMBER($M14)),MAX(J12*$M14/$M12,$M12/(J12*$M14)),"")</f>
        <v>1.36079000017438</v>
      </c>
      <c r="Z12" s="30" t="n">
        <f aca="false">IF(AND(ISNUMBER(K12),ISNUMBER($M12),ISNUMBER($M15)),MAX(K12*$M15/$M12,$M12/(K12*$M15)),"")</f>
        <v>1.16652903957612</v>
      </c>
      <c r="AA12" s="49" t="n">
        <f aca="false">IF(COUNT(R12:Z12)=0,"",MAX(R12:Z12))</f>
        <v>1.36079000017438</v>
      </c>
    </row>
    <row r="13" customFormat="false" ht="27" hidden="false" customHeight="true" outlineLevel="0" collapsed="false">
      <c r="A13" s="19" t="s">
        <v>110</v>
      </c>
      <c r="B13" s="9" t="s">
        <v>111</v>
      </c>
      <c r="C13" s="31" t="n">
        <f aca="false">IF(ISNUMBER(I7),1/I7,"")</f>
        <v>1</v>
      </c>
      <c r="D13" s="31" t="n">
        <f aca="false">IF(ISNUMBER(I8),1/I8,"")</f>
        <v>3</v>
      </c>
      <c r="E13" s="31" t="n">
        <f aca="false">IF(ISNUMBER(I9),1/I9,"")</f>
        <v>2</v>
      </c>
      <c r="F13" s="31" t="n">
        <f aca="false">IF(ISNUMBER(I10),1/I10,"")</f>
        <v>2</v>
      </c>
      <c r="G13" s="31" t="n">
        <f aca="false">IF(ISNUMBER(I11),1/I11,"")</f>
        <v>1</v>
      </c>
      <c r="H13" s="31" t="n">
        <f aca="false">IF(ISNUMBER(I12),1/I12,"")</f>
        <v>1</v>
      </c>
      <c r="I13" s="31" t="n">
        <v>1</v>
      </c>
      <c r="J13" s="31" t="n">
        <f aca="false">نسبت!I42</f>
        <v>2</v>
      </c>
      <c r="K13" s="31" t="n">
        <f aca="false">نسبت!I43</f>
        <v>1</v>
      </c>
      <c r="L13" s="37" t="n">
        <f aca="false">IF($P$8=$P$7*($P$7-1)/2,GEOMEAN(C13:K13),"")</f>
        <v>1.42349781425291</v>
      </c>
      <c r="M13" s="36" t="n">
        <f aca="false">IF($P$8=$P$7*($P$7-1)/2,L13/SUM($L$7:$L$15),"")</f>
        <v>0.150336637579636</v>
      </c>
      <c r="O13" s="48" t="s">
        <v>83</v>
      </c>
      <c r="P13" s="10" t="str">
        <f aca="false">IF(NOT($P$8=$P$7*($P$7-1)/2),"ناقص",IF(P12&lt;=$P$3,"سازگار","ناسازگار"))</f>
        <v>سازگار</v>
      </c>
      <c r="Q13" s="8" t="s">
        <v>110</v>
      </c>
      <c r="Y13" s="30" t="n">
        <f aca="false">IF(AND(ISNUMBER(J13),ISNUMBER($M13),ISNUMBER($M14)),MAX(J13*$M14/$M13,$M13/(J13*$M14)),"")</f>
        <v>1.20441910661166</v>
      </c>
      <c r="Z13" s="30" t="n">
        <f aca="false">IF(AND(ISNUMBER(K13),ISNUMBER($M13),ISNUMBER($M15)),MAX(K13*$M15/$M13,$M13/(K13*$M15)),"")</f>
        <v>1.04608191864321</v>
      </c>
      <c r="AA13" s="49" t="n">
        <f aca="false">IF(COUNT(R13:Z13)=0,"",MAX(R13:Z13))</f>
        <v>1.20441910661166</v>
      </c>
    </row>
    <row r="14" customFormat="false" ht="27" hidden="false" customHeight="true" outlineLevel="0" collapsed="false">
      <c r="A14" s="19" t="s">
        <v>112</v>
      </c>
      <c r="B14" s="9" t="s">
        <v>113</v>
      </c>
      <c r="C14" s="31" t="n">
        <f aca="false">IF(ISNUMBER(J7),1/J7,"")</f>
        <v>0.5</v>
      </c>
      <c r="D14" s="31" t="n">
        <f aca="false">IF(ISNUMBER(J8),1/J8,"")</f>
        <v>2</v>
      </c>
      <c r="E14" s="31" t="n">
        <f aca="false">IF(ISNUMBER(J9),1/J9,"")</f>
        <v>1</v>
      </c>
      <c r="F14" s="31" t="n">
        <f aca="false">IF(ISNUMBER(J10),1/J10,"")</f>
        <v>1</v>
      </c>
      <c r="G14" s="31" t="n">
        <f aca="false">IF(ISNUMBER(J11),1/J11,"")</f>
        <v>1</v>
      </c>
      <c r="H14" s="31" t="n">
        <f aca="false">IF(ISNUMBER(J12),1/J12,"")</f>
        <v>1</v>
      </c>
      <c r="I14" s="31" t="n">
        <f aca="false">IF(ISNUMBER(J13),1/J13,"")</f>
        <v>0.5</v>
      </c>
      <c r="J14" s="31" t="n">
        <v>1</v>
      </c>
      <c r="K14" s="31" t="n">
        <f aca="false">نسبت!I44</f>
        <v>0.5</v>
      </c>
      <c r="L14" s="37" t="n">
        <f aca="false">IF($P$8=$P$7*($P$7-1)/2,GEOMEAN(C14:K14),"")</f>
        <v>0.857243982853073</v>
      </c>
      <c r="M14" s="36" t="n">
        <f aca="false">IF($P$8=$P$7*($P$7-1)/2,L14/SUM($L$7:$L$15),"")</f>
        <v>0.090534159362333</v>
      </c>
      <c r="O14" s="48" t="s">
        <v>233</v>
      </c>
      <c r="P14" s="30" t="n">
        <f aca="false">IF(COUNT(AA7:AA15)=0,"",MAX(AA7:AA15))</f>
        <v>1.36079000017438</v>
      </c>
      <c r="Q14" s="8" t="s">
        <v>112</v>
      </c>
      <c r="Z14" s="30" t="n">
        <f aca="false">IF(AND(ISNUMBER(K14),ISNUMBER($M14),ISNUMBER($M15)),MAX(K14*$M15/$M14,$M14/(K14*$M15)),"")</f>
        <v>1.25992104989487</v>
      </c>
      <c r="AA14" s="49" t="n">
        <f aca="false">IF(COUNT(R14:Z14)=0,"",MAX(R14:Z14))</f>
        <v>1.25992104989487</v>
      </c>
    </row>
    <row r="15" customFormat="false" ht="27" hidden="false" customHeight="true" outlineLevel="0" collapsed="false">
      <c r="A15" s="19" t="s">
        <v>114</v>
      </c>
      <c r="B15" s="9" t="s">
        <v>115</v>
      </c>
      <c r="C15" s="31" t="n">
        <f aca="false">IF(ISNUMBER(K7),1/K7,"")</f>
        <v>1</v>
      </c>
      <c r="D15" s="31" t="n">
        <f aca="false">IF(ISNUMBER(K8),1/K8,"")</f>
        <v>2</v>
      </c>
      <c r="E15" s="31" t="n">
        <f aca="false">IF(ISNUMBER(K9),1/K9,"")</f>
        <v>2</v>
      </c>
      <c r="F15" s="31" t="n">
        <f aca="false">IF(ISNUMBER(K10),1/K10,"")</f>
        <v>2</v>
      </c>
      <c r="G15" s="31" t="n">
        <f aca="false">IF(ISNUMBER(K11),1/K11,"")</f>
        <v>1</v>
      </c>
      <c r="H15" s="31" t="n">
        <f aca="false">IF(ISNUMBER(K12),1/K12,"")</f>
        <v>1</v>
      </c>
      <c r="I15" s="31" t="n">
        <f aca="false">IF(ISNUMBER(K13),1/K13,"")</f>
        <v>1</v>
      </c>
      <c r="J15" s="31" t="n">
        <f aca="false">IF(ISNUMBER(K14),1/K14,"")</f>
        <v>2</v>
      </c>
      <c r="K15" s="31" t="n">
        <v>1</v>
      </c>
      <c r="L15" s="37" t="n">
        <f aca="false">IF($P$8=$P$7*($P$7-1)/2,GEOMEAN(C15:K15),"")</f>
        <v>1.36079000017438</v>
      </c>
      <c r="M15" s="36" t="n">
        <f aca="false">IF($P$8=$P$7*($P$7-1)/2,L15/SUM($L$7:$L$15),"")</f>
        <v>0.143714019810824</v>
      </c>
      <c r="O15" s="48" t="s">
        <v>234</v>
      </c>
      <c r="P15" s="19" t="str">
        <f aca="false">IF(ISNUMBER(P14),INDEX(A7:A15,MATCH(P14,AA7:AA15,0))&amp;" و "&amp;INDEX(C6:K6,MATCH(P14,INDEX(R7:Z15,MATCH(P14,AA7:AA15,0),0),0)),"")</f>
        <v>م۳ و م۵</v>
      </c>
      <c r="Q15" s="8" t="s">
        <v>114</v>
      </c>
    </row>
    <row r="16" customFormat="false" ht="15" hidden="false" customHeight="false" outlineLevel="0" collapsed="false">
      <c r="A16" s="50"/>
      <c r="B16" s="51" t="s">
        <v>235</v>
      </c>
      <c r="C16" s="52" t="n">
        <f aca="false">IF($P$8=$P$7*($P$7-1)/2,SUM(C7:C15),"")</f>
        <v>6.83333333333333</v>
      </c>
      <c r="D16" s="52" t="n">
        <f aca="false">IF($P$8=$P$7*($P$7-1)/2,SUM(D7:D15),"")</f>
        <v>18</v>
      </c>
      <c r="E16" s="52" t="n">
        <f aca="false">IF($P$8=$P$7*($P$7-1)/2,SUM(E7:E15),"")</f>
        <v>11.5</v>
      </c>
      <c r="F16" s="52" t="n">
        <f aca="false">IF($P$8=$P$7*($P$7-1)/2,SUM(F7:F15),"")</f>
        <v>14</v>
      </c>
      <c r="G16" s="52" t="n">
        <f aca="false">IF($P$8=$P$7*($P$7-1)/2,SUM(G7:G15),"")</f>
        <v>8</v>
      </c>
      <c r="H16" s="52" t="n">
        <f aca="false">IF($P$8=$P$7*($P$7-1)/2,SUM(H7:H15),"")</f>
        <v>8</v>
      </c>
      <c r="I16" s="52" t="n">
        <f aca="false">IF($P$8=$P$7*($P$7-1)/2,SUM(I7:I15),"")</f>
        <v>6.83333333333333</v>
      </c>
      <c r="J16" s="52" t="n">
        <f aca="false">IF($P$8=$P$7*($P$7-1)/2,SUM(J7:J15),"")</f>
        <v>11.5</v>
      </c>
      <c r="K16" s="52" t="n">
        <f aca="false">IF($P$8=$P$7*($P$7-1)/2,SUM(K7:K15),"")</f>
        <v>7</v>
      </c>
      <c r="M16" s="53" t="n">
        <f aca="false">IF($P$8=$P$7*($P$7-1)/2,SUM(M7:M15),"")</f>
        <v>1</v>
      </c>
    </row>
    <row r="17" customFormat="false" ht="15" hidden="false" customHeight="false" outlineLevel="0" collapsed="false">
      <c r="A17" s="50"/>
      <c r="B17" s="51" t="s">
        <v>236</v>
      </c>
      <c r="C17" s="53" t="n">
        <f aca="false">M7</f>
        <v>0.150336637579636</v>
      </c>
      <c r="D17" s="53" t="n">
        <f aca="false">M8</f>
        <v>0.0562914189309135</v>
      </c>
      <c r="E17" s="53" t="n">
        <f aca="false">M9</f>
        <v>0.090534159362333</v>
      </c>
      <c r="F17" s="53" t="n">
        <f aca="false">M10</f>
        <v>0.071857009905412</v>
      </c>
      <c r="G17" s="53" t="n">
        <f aca="false">M11</f>
        <v>0.123197978734456</v>
      </c>
      <c r="H17" s="53" t="n">
        <f aca="false">M12</f>
        <v>0.123197978734456</v>
      </c>
      <c r="I17" s="53" t="n">
        <f aca="false">M13</f>
        <v>0.150336637579636</v>
      </c>
      <c r="J17" s="53" t="n">
        <f aca="false">M14</f>
        <v>0.090534159362333</v>
      </c>
      <c r="K17" s="53" t="n">
        <f aca="false">M15</f>
        <v>0.143714019810824</v>
      </c>
    </row>
    <row r="19" customFormat="false" ht="15" hidden="false" customHeight="false" outlineLevel="0" collapsed="false">
      <c r="A19" s="45" t="s">
        <v>237</v>
      </c>
      <c r="B19" s="45"/>
      <c r="C19" s="45"/>
      <c r="D19" s="45"/>
      <c r="E19" s="45"/>
      <c r="F19" s="45"/>
      <c r="G19" s="45"/>
      <c r="H19" s="45"/>
      <c r="I19" s="45"/>
      <c r="J19" s="45"/>
      <c r="K19" s="45"/>
      <c r="L19" s="45"/>
      <c r="M19" s="45"/>
      <c r="Q19" s="46" t="s">
        <v>224</v>
      </c>
      <c r="R19" s="46"/>
      <c r="S19" s="46"/>
      <c r="T19" s="46"/>
      <c r="U19" s="46"/>
      <c r="V19" s="46"/>
      <c r="W19" s="46"/>
      <c r="X19" s="46"/>
      <c r="Y19" s="46"/>
      <c r="Z19" s="46"/>
      <c r="AA19" s="46"/>
    </row>
    <row r="20" customFormat="false" ht="27.75" hidden="false" customHeight="true" outlineLevel="0" collapsed="false">
      <c r="A20" s="8" t="s">
        <v>199</v>
      </c>
      <c r="B20" s="8" t="s">
        <v>225</v>
      </c>
      <c r="C20" s="8" t="s">
        <v>117</v>
      </c>
      <c r="D20" s="8" t="s">
        <v>119</v>
      </c>
      <c r="E20" s="8" t="s">
        <v>121</v>
      </c>
      <c r="L20" s="7" t="s">
        <v>226</v>
      </c>
      <c r="M20" s="8" t="s">
        <v>227</v>
      </c>
      <c r="Q20" s="8" t="s">
        <v>199</v>
      </c>
      <c r="R20" s="8" t="s">
        <v>117</v>
      </c>
      <c r="S20" s="8" t="s">
        <v>119</v>
      </c>
      <c r="T20" s="8" t="s">
        <v>121</v>
      </c>
      <c r="AA20" s="47" t="s">
        <v>228</v>
      </c>
    </row>
    <row r="21" customFormat="false" ht="27" hidden="false" customHeight="true" outlineLevel="0" collapsed="false">
      <c r="A21" s="19" t="s">
        <v>117</v>
      </c>
      <c r="B21" s="9" t="s">
        <v>118</v>
      </c>
      <c r="C21" s="31" t="n">
        <v>1</v>
      </c>
      <c r="D21" s="31" t="n">
        <f aca="false">نسبت!I45</f>
        <v>1</v>
      </c>
      <c r="E21" s="31" t="n">
        <f aca="false">نسبت!I46</f>
        <v>2</v>
      </c>
      <c r="L21" s="37" t="n">
        <f aca="false">IF($P$22=$P$21*($P$21-1)/2,GEOMEAN(C21:E21),"")</f>
        <v>1.25992104989487</v>
      </c>
      <c r="M21" s="36" t="n">
        <f aca="false">IF($P$22=$P$21*($P$21-1)/2,L21/SUM($L$21:$L$23),"")</f>
        <v>0.4</v>
      </c>
      <c r="O21" s="48" t="s">
        <v>229</v>
      </c>
      <c r="P21" s="11" t="n">
        <f aca="false">ROWS(A21:A23)</f>
        <v>3</v>
      </c>
      <c r="Q21" s="8" t="s">
        <v>117</v>
      </c>
      <c r="S21" s="30" t="n">
        <f aca="false">IF(AND(ISNUMBER(D21),ISNUMBER($M21),ISNUMBER($M22)),MAX(D21*$M22/$M21,$M21/(D21*$M22)),"")</f>
        <v>1</v>
      </c>
      <c r="T21" s="30" t="n">
        <f aca="false">IF(AND(ISNUMBER(E21),ISNUMBER($M21),ISNUMBER($M23)),MAX(E21*$M23/$M21,$M21/(E21*$M23)),"")</f>
        <v>1</v>
      </c>
      <c r="AA21" s="49" t="n">
        <f aca="false">IF(COUNT(R21:T21)=0,"",MAX(R21:T21))</f>
        <v>1</v>
      </c>
    </row>
    <row r="22" customFormat="false" ht="27" hidden="false" customHeight="true" outlineLevel="0" collapsed="false">
      <c r="A22" s="19" t="s">
        <v>119</v>
      </c>
      <c r="B22" s="9" t="s">
        <v>120</v>
      </c>
      <c r="C22" s="31" t="n">
        <f aca="false">IF(ISNUMBER(D21),1/D21,"")</f>
        <v>1</v>
      </c>
      <c r="D22" s="31" t="n">
        <v>1</v>
      </c>
      <c r="E22" s="31" t="n">
        <f aca="false">نسبت!I47</f>
        <v>2</v>
      </c>
      <c r="L22" s="37" t="n">
        <f aca="false">IF($P$22=$P$21*($P$21-1)/2,GEOMEAN(C22:E22),"")</f>
        <v>1.25992104989487</v>
      </c>
      <c r="M22" s="36" t="n">
        <f aca="false">IF($P$22=$P$21*($P$21-1)/2,L22/SUM($L$21:$L$23),"")</f>
        <v>0.4</v>
      </c>
      <c r="O22" s="48" t="s">
        <v>230</v>
      </c>
      <c r="P22" s="11" t="n">
        <f aca="false">(COUNT(C21:E23)-$P$21)/2</f>
        <v>3</v>
      </c>
      <c r="Q22" s="8" t="s">
        <v>119</v>
      </c>
      <c r="T22" s="30" t="n">
        <f aca="false">IF(AND(ISNUMBER(E22),ISNUMBER($M22),ISNUMBER($M23)),MAX(E22*$M23/$M22,$M22/(E22*$M23)),"")</f>
        <v>1</v>
      </c>
      <c r="AA22" s="49" t="n">
        <f aca="false">IF(COUNT(R22:T22)=0,"",MAX(R22:T22))</f>
        <v>1</v>
      </c>
    </row>
    <row r="23" customFormat="false" ht="27" hidden="false" customHeight="true" outlineLevel="0" collapsed="false">
      <c r="A23" s="19" t="s">
        <v>121</v>
      </c>
      <c r="B23" s="9" t="s">
        <v>122</v>
      </c>
      <c r="C23" s="31" t="n">
        <f aca="false">IF(ISNUMBER(E21),1/E21,"")</f>
        <v>0.5</v>
      </c>
      <c r="D23" s="31" t="n">
        <f aca="false">IF(ISNUMBER(E22),1/E22,"")</f>
        <v>0.5</v>
      </c>
      <c r="E23" s="31" t="n">
        <v>1</v>
      </c>
      <c r="L23" s="37" t="n">
        <f aca="false">IF($P$22=$P$21*($P$21-1)/2,GEOMEAN(C23:E23),"")</f>
        <v>0.629960524947437</v>
      </c>
      <c r="M23" s="36" t="n">
        <f aca="false">IF($P$22=$P$21*($P$21-1)/2,L23/SUM($L$21:$L$23),"")</f>
        <v>0.2</v>
      </c>
      <c r="O23" s="48" t="s">
        <v>231</v>
      </c>
      <c r="P23" s="37" t="n">
        <f aca="false">IF($P$22=$P$21*($P$21-1)/2,SUMPRODUCT(C24:E24,C25:E25),"")</f>
        <v>3</v>
      </c>
      <c r="Q23" s="8" t="s">
        <v>121</v>
      </c>
    </row>
    <row r="24" customFormat="false" ht="15" hidden="false" customHeight="false" outlineLevel="0" collapsed="false">
      <c r="A24" s="50"/>
      <c r="B24" s="51" t="s">
        <v>235</v>
      </c>
      <c r="C24" s="52" t="n">
        <f aca="false">IF($P$22=$P$21*($P$21-1)/2,SUM(C21:C23),"")</f>
        <v>2.5</v>
      </c>
      <c r="D24" s="52" t="n">
        <f aca="false">IF($P$22=$P$21*($P$21-1)/2,SUM(D21:D23),"")</f>
        <v>2.5</v>
      </c>
      <c r="E24" s="52" t="n">
        <f aca="false">IF($P$22=$P$21*($P$21-1)/2,SUM(E21:E23),"")</f>
        <v>5</v>
      </c>
      <c r="M24" s="53" t="n">
        <f aca="false">IF($P$22=$P$21*($P$21-1)/2,SUM(M21:M23),"")</f>
        <v>1</v>
      </c>
      <c r="O24" s="48" t="s">
        <v>48</v>
      </c>
      <c r="P24" s="37" t="n">
        <f aca="false">IF(ISNUMBER(P23),(P23-$P$21)/($P$21-1),"")</f>
        <v>0</v>
      </c>
    </row>
    <row r="25" customFormat="false" ht="15" hidden="false" customHeight="false" outlineLevel="0" collapsed="false">
      <c r="A25" s="50"/>
      <c r="B25" s="51" t="s">
        <v>236</v>
      </c>
      <c r="C25" s="53" t="n">
        <f aca="false">M21</f>
        <v>0.4</v>
      </c>
      <c r="D25" s="53" t="n">
        <f aca="false">M22</f>
        <v>0.4</v>
      </c>
      <c r="E25" s="53" t="n">
        <f aca="false">M23</f>
        <v>0.2</v>
      </c>
      <c r="O25" s="48" t="s">
        <v>232</v>
      </c>
      <c r="P25" s="30" t="n">
        <f aca="false">INDEX(راهنما!$C$29:$C$38,MATCH($P$21,راهنما!$B$29:$B$38,0))</f>
        <v>0.58</v>
      </c>
    </row>
    <row r="26" customFormat="false" ht="15" hidden="false" customHeight="false" outlineLevel="0" collapsed="false">
      <c r="O26" s="48" t="s">
        <v>50</v>
      </c>
      <c r="P26" s="41" t="n">
        <f aca="false">IF(ISNUMBER(P24),IF(P25=0,0,MAX(0,P24)/P25),"")</f>
        <v>0</v>
      </c>
    </row>
    <row r="27" customFormat="false" ht="15" hidden="false" customHeight="false" outlineLevel="0" collapsed="false">
      <c r="O27" s="48" t="s">
        <v>83</v>
      </c>
      <c r="P27" s="10" t="str">
        <f aca="false">IF(NOT($P$22=$P$21*($P$21-1)/2),"ناقص",IF(P26&lt;=$P$3,"سازگار","ناسازگار"))</f>
        <v>سازگار</v>
      </c>
    </row>
    <row r="28" customFormat="false" ht="15" hidden="false" customHeight="false" outlineLevel="0" collapsed="false">
      <c r="O28" s="48" t="s">
        <v>233</v>
      </c>
      <c r="P28" s="30" t="n">
        <f aca="false">IF(COUNT(AA21:AA23)=0,"",MAX(AA21:AA23))</f>
        <v>1</v>
      </c>
    </row>
    <row r="29" customFormat="false" ht="15" hidden="false" customHeight="false" outlineLevel="0" collapsed="false">
      <c r="O29" s="48" t="s">
        <v>234</v>
      </c>
      <c r="P29" s="19" t="str">
        <f aca="false">IF(ISNUMBER(P28),INDEX(A21:A23,MATCH(P28,AA21:AA23,0))&amp;" و "&amp;INDEX(C20:E20,MATCH(P28,INDEX(R21:T23,MATCH(P28,AA21:AA23,0),0),0)),"")</f>
        <v>گ۱ و گ۲</v>
      </c>
    </row>
    <row r="31" customFormat="false" ht="15" hidden="false" customHeight="false" outlineLevel="0" collapsed="false">
      <c r="A31" s="45" t="s">
        <v>238</v>
      </c>
      <c r="B31" s="45"/>
      <c r="C31" s="45"/>
      <c r="D31" s="45"/>
      <c r="E31" s="45"/>
      <c r="F31" s="45"/>
      <c r="G31" s="45"/>
      <c r="H31" s="45"/>
      <c r="I31" s="45"/>
      <c r="J31" s="45"/>
      <c r="K31" s="45"/>
      <c r="L31" s="45"/>
      <c r="M31" s="45"/>
      <c r="Q31" s="46" t="s">
        <v>224</v>
      </c>
      <c r="R31" s="46"/>
      <c r="S31" s="46"/>
      <c r="T31" s="46"/>
      <c r="U31" s="46"/>
      <c r="V31" s="46"/>
      <c r="W31" s="46"/>
      <c r="X31" s="46"/>
      <c r="Y31" s="46"/>
      <c r="Z31" s="46"/>
      <c r="AA31" s="46"/>
    </row>
    <row r="32" customFormat="false" ht="27.75" hidden="false" customHeight="true" outlineLevel="0" collapsed="false">
      <c r="A32" s="8" t="s">
        <v>199</v>
      </c>
      <c r="B32" s="8" t="s">
        <v>225</v>
      </c>
      <c r="C32" s="8" t="s">
        <v>123</v>
      </c>
      <c r="D32" s="8" t="s">
        <v>125</v>
      </c>
      <c r="E32" s="8" t="s">
        <v>127</v>
      </c>
      <c r="F32" s="8" t="s">
        <v>129</v>
      </c>
      <c r="L32" s="7" t="s">
        <v>226</v>
      </c>
      <c r="M32" s="8" t="s">
        <v>227</v>
      </c>
      <c r="Q32" s="8" t="s">
        <v>199</v>
      </c>
      <c r="R32" s="8" t="s">
        <v>123</v>
      </c>
      <c r="S32" s="8" t="s">
        <v>125</v>
      </c>
      <c r="T32" s="8" t="s">
        <v>127</v>
      </c>
      <c r="U32" s="8" t="s">
        <v>129</v>
      </c>
      <c r="AA32" s="47" t="s">
        <v>228</v>
      </c>
    </row>
    <row r="33" customFormat="false" ht="27" hidden="false" customHeight="true" outlineLevel="0" collapsed="false">
      <c r="A33" s="19" t="s">
        <v>123</v>
      </c>
      <c r="B33" s="9" t="s">
        <v>124</v>
      </c>
      <c r="C33" s="31" t="n">
        <v>1</v>
      </c>
      <c r="D33" s="31" t="n">
        <f aca="false">نسبت!I48</f>
        <v>1</v>
      </c>
      <c r="E33" s="31" t="n">
        <f aca="false">نسبت!I49</f>
        <v>2</v>
      </c>
      <c r="F33" s="31" t="n">
        <f aca="false">نسبت!I50</f>
        <v>2</v>
      </c>
      <c r="L33" s="37" t="n">
        <f aca="false">IF($P$34=$P$33*($P$33-1)/2,GEOMEAN(C33:F33),"")</f>
        <v>1.4142135623731</v>
      </c>
      <c r="M33" s="36" t="n">
        <f aca="false">IF($P$34=$P$33*($P$33-1)/2,L33/SUM($L$33:$L$36),"")</f>
        <v>0.333333333333333</v>
      </c>
      <c r="O33" s="48" t="s">
        <v>229</v>
      </c>
      <c r="P33" s="11" t="n">
        <f aca="false">ROWS(A33:A36)</f>
        <v>4</v>
      </c>
      <c r="Q33" s="8" t="s">
        <v>123</v>
      </c>
      <c r="S33" s="30" t="n">
        <f aca="false">IF(AND(ISNUMBER(D33),ISNUMBER($M33),ISNUMBER($M34)),MAX(D33*$M34/$M33,$M33/(D33*$M34)),"")</f>
        <v>1</v>
      </c>
      <c r="T33" s="30" t="n">
        <f aca="false">IF(AND(ISNUMBER(E33),ISNUMBER($M33),ISNUMBER($M35)),MAX(E33*$M35/$M33,$M33/(E33*$M35)),"")</f>
        <v>1</v>
      </c>
      <c r="U33" s="30" t="n">
        <f aca="false">IF(AND(ISNUMBER(F33),ISNUMBER($M33),ISNUMBER($M36)),MAX(F33*$M36/$M33,$M33/(F33*$M36)),"")</f>
        <v>1</v>
      </c>
      <c r="AA33" s="49" t="n">
        <f aca="false">IF(COUNT(R33:U33)=0,"",MAX(R33:U33))</f>
        <v>1</v>
      </c>
    </row>
    <row r="34" customFormat="false" ht="27" hidden="false" customHeight="true" outlineLevel="0" collapsed="false">
      <c r="A34" s="19" t="s">
        <v>125</v>
      </c>
      <c r="B34" s="9" t="s">
        <v>126</v>
      </c>
      <c r="C34" s="31" t="n">
        <f aca="false">IF(ISNUMBER(D33),1/D33,"")</f>
        <v>1</v>
      </c>
      <c r="D34" s="31" t="n">
        <v>1</v>
      </c>
      <c r="E34" s="31" t="n">
        <f aca="false">نسبت!I51</f>
        <v>2</v>
      </c>
      <c r="F34" s="31" t="n">
        <f aca="false">نسبت!I52</f>
        <v>2</v>
      </c>
      <c r="L34" s="37" t="n">
        <f aca="false">IF($P$34=$P$33*($P$33-1)/2,GEOMEAN(C34:F34),"")</f>
        <v>1.4142135623731</v>
      </c>
      <c r="M34" s="36" t="n">
        <f aca="false">IF($P$34=$P$33*($P$33-1)/2,L34/SUM($L$33:$L$36),"")</f>
        <v>0.333333333333333</v>
      </c>
      <c r="O34" s="48" t="s">
        <v>230</v>
      </c>
      <c r="P34" s="11" t="n">
        <f aca="false">(COUNT(C33:F36)-$P$33)/2</f>
        <v>6</v>
      </c>
      <c r="Q34" s="8" t="s">
        <v>125</v>
      </c>
      <c r="T34" s="30" t="n">
        <f aca="false">IF(AND(ISNUMBER(E34),ISNUMBER($M34),ISNUMBER($M35)),MAX(E34*$M35/$M34,$M34/(E34*$M35)),"")</f>
        <v>1</v>
      </c>
      <c r="U34" s="30" t="n">
        <f aca="false">IF(AND(ISNUMBER(F34),ISNUMBER($M34),ISNUMBER($M36)),MAX(F34*$M36/$M34,$M34/(F34*$M36)),"")</f>
        <v>1</v>
      </c>
      <c r="AA34" s="49" t="n">
        <f aca="false">IF(COUNT(R34:U34)=0,"",MAX(R34:U34))</f>
        <v>1</v>
      </c>
    </row>
    <row r="35" customFormat="false" ht="27" hidden="false" customHeight="true" outlineLevel="0" collapsed="false">
      <c r="A35" s="19" t="s">
        <v>127</v>
      </c>
      <c r="B35" s="9" t="s">
        <v>128</v>
      </c>
      <c r="C35" s="31" t="n">
        <f aca="false">IF(ISNUMBER(E33),1/E33,"")</f>
        <v>0.5</v>
      </c>
      <c r="D35" s="31" t="n">
        <f aca="false">IF(ISNUMBER(E34),1/E34,"")</f>
        <v>0.5</v>
      </c>
      <c r="E35" s="31" t="n">
        <v>1</v>
      </c>
      <c r="F35" s="31" t="n">
        <f aca="false">نسبت!I53</f>
        <v>1</v>
      </c>
      <c r="L35" s="37" t="n">
        <f aca="false">IF($P$34=$P$33*($P$33-1)/2,GEOMEAN(C35:F35),"")</f>
        <v>0.707106781186548</v>
      </c>
      <c r="M35" s="36" t="n">
        <f aca="false">IF($P$34=$P$33*($P$33-1)/2,L35/SUM($L$33:$L$36),"")</f>
        <v>0.166666666666667</v>
      </c>
      <c r="O35" s="48" t="s">
        <v>231</v>
      </c>
      <c r="P35" s="37" t="n">
        <f aca="false">IF($P$34=$P$33*($P$33-1)/2,SUMPRODUCT(C37:F37,C38:F38),"")</f>
        <v>4</v>
      </c>
      <c r="Q35" s="8" t="s">
        <v>127</v>
      </c>
      <c r="U35" s="30" t="n">
        <f aca="false">IF(AND(ISNUMBER(F35),ISNUMBER($M35),ISNUMBER($M36)),MAX(F35*$M36/$M35,$M35/(F35*$M36)),"")</f>
        <v>1</v>
      </c>
      <c r="AA35" s="49" t="n">
        <f aca="false">IF(COUNT(R35:U35)=0,"",MAX(R35:U35))</f>
        <v>1</v>
      </c>
    </row>
    <row r="36" customFormat="false" ht="27" hidden="false" customHeight="true" outlineLevel="0" collapsed="false">
      <c r="A36" s="19" t="s">
        <v>129</v>
      </c>
      <c r="B36" s="9" t="s">
        <v>130</v>
      </c>
      <c r="C36" s="31" t="n">
        <f aca="false">IF(ISNUMBER(F33),1/F33,"")</f>
        <v>0.5</v>
      </c>
      <c r="D36" s="31" t="n">
        <f aca="false">IF(ISNUMBER(F34),1/F34,"")</f>
        <v>0.5</v>
      </c>
      <c r="E36" s="31" t="n">
        <f aca="false">IF(ISNUMBER(F35),1/F35,"")</f>
        <v>1</v>
      </c>
      <c r="F36" s="31" t="n">
        <v>1</v>
      </c>
      <c r="L36" s="37" t="n">
        <f aca="false">IF($P$34=$P$33*($P$33-1)/2,GEOMEAN(C36:F36),"")</f>
        <v>0.707106781186548</v>
      </c>
      <c r="M36" s="36" t="n">
        <f aca="false">IF($P$34=$P$33*($P$33-1)/2,L36/SUM($L$33:$L$36),"")</f>
        <v>0.166666666666667</v>
      </c>
      <c r="O36" s="48" t="s">
        <v>48</v>
      </c>
      <c r="P36" s="37" t="n">
        <f aca="false">IF(ISNUMBER(P35),(P35-$P$33)/($P$33-1),"")</f>
        <v>0</v>
      </c>
      <c r="Q36" s="8" t="s">
        <v>129</v>
      </c>
    </row>
    <row r="37" customFormat="false" ht="15" hidden="false" customHeight="false" outlineLevel="0" collapsed="false">
      <c r="A37" s="50"/>
      <c r="B37" s="51" t="s">
        <v>235</v>
      </c>
      <c r="C37" s="52" t="n">
        <f aca="false">IF($P$34=$P$33*($P$33-1)/2,SUM(C33:C36),"")</f>
        <v>3</v>
      </c>
      <c r="D37" s="52" t="n">
        <f aca="false">IF($P$34=$P$33*($P$33-1)/2,SUM(D33:D36),"")</f>
        <v>3</v>
      </c>
      <c r="E37" s="52" t="n">
        <f aca="false">IF($P$34=$P$33*($P$33-1)/2,SUM(E33:E36),"")</f>
        <v>6</v>
      </c>
      <c r="F37" s="52" t="n">
        <f aca="false">IF($P$34=$P$33*($P$33-1)/2,SUM(F33:F36),"")</f>
        <v>6</v>
      </c>
      <c r="M37" s="53" t="n">
        <f aca="false">IF($P$34=$P$33*($P$33-1)/2,SUM(M33:M36),"")</f>
        <v>1</v>
      </c>
      <c r="O37" s="48" t="s">
        <v>232</v>
      </c>
      <c r="P37" s="30" t="n">
        <f aca="false">INDEX(راهنما!$C$29:$C$38,MATCH($P$33,راهنما!$B$29:$B$38,0))</f>
        <v>0.9</v>
      </c>
    </row>
    <row r="38" customFormat="false" ht="15" hidden="false" customHeight="false" outlineLevel="0" collapsed="false">
      <c r="A38" s="50"/>
      <c r="B38" s="51" t="s">
        <v>236</v>
      </c>
      <c r="C38" s="53" t="n">
        <f aca="false">M33</f>
        <v>0.333333333333333</v>
      </c>
      <c r="D38" s="53" t="n">
        <f aca="false">M34</f>
        <v>0.333333333333333</v>
      </c>
      <c r="E38" s="53" t="n">
        <f aca="false">M35</f>
        <v>0.166666666666667</v>
      </c>
      <c r="F38" s="53" t="n">
        <f aca="false">M36</f>
        <v>0.166666666666667</v>
      </c>
      <c r="O38" s="48" t="s">
        <v>50</v>
      </c>
      <c r="P38" s="41" t="n">
        <f aca="false">IF(ISNUMBER(P36),IF(P37=0,0,MAX(0,P36)/P37),"")</f>
        <v>0</v>
      </c>
    </row>
    <row r="39" customFormat="false" ht="15" hidden="false" customHeight="false" outlineLevel="0" collapsed="false">
      <c r="O39" s="48" t="s">
        <v>83</v>
      </c>
      <c r="P39" s="10" t="str">
        <f aca="false">IF(NOT($P$34=$P$33*($P$33-1)/2),"ناقص",IF(P38&lt;=$P$3,"سازگار","ناسازگار"))</f>
        <v>سازگار</v>
      </c>
    </row>
    <row r="40" customFormat="false" ht="15" hidden="false" customHeight="false" outlineLevel="0" collapsed="false">
      <c r="O40" s="48" t="s">
        <v>233</v>
      </c>
      <c r="P40" s="30" t="n">
        <f aca="false">IF(COUNT(AA33:AA36)=0,"",MAX(AA33:AA36))</f>
        <v>1</v>
      </c>
    </row>
    <row r="41" customFormat="false" ht="15" hidden="false" customHeight="false" outlineLevel="0" collapsed="false">
      <c r="O41" s="48" t="s">
        <v>234</v>
      </c>
      <c r="P41" s="19" t="str">
        <f aca="false">IF(ISNUMBER(P40),INDEX(A33:A36,MATCH(P40,AA33:AA36,0))&amp;" و "&amp;INDEX(C32:F32,MATCH(P40,INDEX(R33:U36,MATCH(P40,AA33:AA36,0),0),0)),"")</f>
        <v>گ۴ و گ۵</v>
      </c>
    </row>
    <row r="43" customFormat="false" ht="15" hidden="false" customHeight="false" outlineLevel="0" collapsed="false">
      <c r="A43" s="45" t="s">
        <v>239</v>
      </c>
      <c r="B43" s="45"/>
      <c r="C43" s="45"/>
      <c r="D43" s="45"/>
      <c r="E43" s="45"/>
      <c r="F43" s="45"/>
      <c r="G43" s="45"/>
      <c r="H43" s="45"/>
      <c r="I43" s="45"/>
      <c r="J43" s="45"/>
      <c r="K43" s="45"/>
      <c r="L43" s="45"/>
      <c r="M43" s="45"/>
      <c r="Q43" s="46" t="s">
        <v>224</v>
      </c>
      <c r="R43" s="46"/>
      <c r="S43" s="46"/>
      <c r="T43" s="46"/>
      <c r="U43" s="46"/>
      <c r="V43" s="46"/>
      <c r="W43" s="46"/>
      <c r="X43" s="46"/>
      <c r="Y43" s="46"/>
      <c r="Z43" s="46"/>
      <c r="AA43" s="46"/>
    </row>
    <row r="44" customFormat="false" ht="27.75" hidden="false" customHeight="true" outlineLevel="0" collapsed="false">
      <c r="A44" s="8" t="s">
        <v>199</v>
      </c>
      <c r="B44" s="8" t="s">
        <v>225</v>
      </c>
      <c r="C44" s="8" t="s">
        <v>131</v>
      </c>
      <c r="D44" s="8" t="s">
        <v>133</v>
      </c>
      <c r="E44" s="8" t="s">
        <v>135</v>
      </c>
      <c r="L44" s="7" t="s">
        <v>226</v>
      </c>
      <c r="M44" s="8" t="s">
        <v>227</v>
      </c>
      <c r="Q44" s="8" t="s">
        <v>199</v>
      </c>
      <c r="R44" s="8" t="s">
        <v>131</v>
      </c>
      <c r="S44" s="8" t="s">
        <v>133</v>
      </c>
      <c r="T44" s="8" t="s">
        <v>135</v>
      </c>
      <c r="AA44" s="47" t="s">
        <v>228</v>
      </c>
    </row>
    <row r="45" customFormat="false" ht="27" hidden="false" customHeight="true" outlineLevel="0" collapsed="false">
      <c r="A45" s="19" t="s">
        <v>131</v>
      </c>
      <c r="B45" s="9" t="s">
        <v>132</v>
      </c>
      <c r="C45" s="31" t="n">
        <v>1</v>
      </c>
      <c r="D45" s="31" t="n">
        <f aca="false">نسبت!I54</f>
        <v>1</v>
      </c>
      <c r="E45" s="31" t="n">
        <f aca="false">نسبت!I55</f>
        <v>1</v>
      </c>
      <c r="L45" s="37" t="n">
        <f aca="false">IF($P$46=$P$45*($P$45-1)/2,GEOMEAN(C45:E45),"")</f>
        <v>1</v>
      </c>
      <c r="M45" s="36" t="n">
        <f aca="false">IF($P$46=$P$45*($P$45-1)/2,L45/SUM($L$45:$L$47),"")</f>
        <v>0.333333333333333</v>
      </c>
      <c r="O45" s="48" t="s">
        <v>229</v>
      </c>
      <c r="P45" s="11" t="n">
        <f aca="false">ROWS(A45:A47)</f>
        <v>3</v>
      </c>
      <c r="Q45" s="8" t="s">
        <v>131</v>
      </c>
      <c r="S45" s="30" t="n">
        <f aca="false">IF(AND(ISNUMBER(D45),ISNUMBER($M45),ISNUMBER($M46)),MAX(D45*$M46/$M45,$M45/(D45*$M46)),"")</f>
        <v>1</v>
      </c>
      <c r="T45" s="30" t="n">
        <f aca="false">IF(AND(ISNUMBER(E45),ISNUMBER($M45),ISNUMBER($M47)),MAX(E45*$M47/$M45,$M45/(E45*$M47)),"")</f>
        <v>1</v>
      </c>
      <c r="AA45" s="49" t="n">
        <f aca="false">IF(COUNT(R45:T45)=0,"",MAX(R45:T45))</f>
        <v>1</v>
      </c>
    </row>
    <row r="46" customFormat="false" ht="27" hidden="false" customHeight="true" outlineLevel="0" collapsed="false">
      <c r="A46" s="19" t="s">
        <v>133</v>
      </c>
      <c r="B46" s="9" t="s">
        <v>134</v>
      </c>
      <c r="C46" s="31" t="n">
        <f aca="false">IF(ISNUMBER(D45),1/D45,"")</f>
        <v>1</v>
      </c>
      <c r="D46" s="31" t="n">
        <v>1</v>
      </c>
      <c r="E46" s="31" t="n">
        <f aca="false">نسبت!I56</f>
        <v>1</v>
      </c>
      <c r="L46" s="37" t="n">
        <f aca="false">IF($P$46=$P$45*($P$45-1)/2,GEOMEAN(C46:E46),"")</f>
        <v>1</v>
      </c>
      <c r="M46" s="36" t="n">
        <f aca="false">IF($P$46=$P$45*($P$45-1)/2,L46/SUM($L$45:$L$47),"")</f>
        <v>0.333333333333333</v>
      </c>
      <c r="O46" s="48" t="s">
        <v>230</v>
      </c>
      <c r="P46" s="11" t="n">
        <f aca="false">(COUNT(C45:E47)-$P$45)/2</f>
        <v>3</v>
      </c>
      <c r="Q46" s="8" t="s">
        <v>133</v>
      </c>
      <c r="T46" s="30" t="n">
        <f aca="false">IF(AND(ISNUMBER(E46),ISNUMBER($M46),ISNUMBER($M47)),MAX(E46*$M47/$M46,$M46/(E46*$M47)),"")</f>
        <v>1</v>
      </c>
      <c r="AA46" s="49" t="n">
        <f aca="false">IF(COUNT(R46:T46)=0,"",MAX(R46:T46))</f>
        <v>1</v>
      </c>
    </row>
    <row r="47" customFormat="false" ht="27" hidden="false" customHeight="true" outlineLevel="0" collapsed="false">
      <c r="A47" s="19" t="s">
        <v>135</v>
      </c>
      <c r="B47" s="9" t="s">
        <v>136</v>
      </c>
      <c r="C47" s="31" t="n">
        <f aca="false">IF(ISNUMBER(E45),1/E45,"")</f>
        <v>1</v>
      </c>
      <c r="D47" s="31" t="n">
        <f aca="false">IF(ISNUMBER(E46),1/E46,"")</f>
        <v>1</v>
      </c>
      <c r="E47" s="31" t="n">
        <v>1</v>
      </c>
      <c r="L47" s="37" t="n">
        <f aca="false">IF($P$46=$P$45*($P$45-1)/2,GEOMEAN(C47:E47),"")</f>
        <v>1</v>
      </c>
      <c r="M47" s="36" t="n">
        <f aca="false">IF($P$46=$P$45*($P$45-1)/2,L47/SUM($L$45:$L$47),"")</f>
        <v>0.333333333333333</v>
      </c>
      <c r="O47" s="48" t="s">
        <v>231</v>
      </c>
      <c r="P47" s="37" t="n">
        <f aca="false">IF($P$46=$P$45*($P$45-1)/2,SUMPRODUCT(C48:E48,C49:E49),"")</f>
        <v>3</v>
      </c>
      <c r="Q47" s="8" t="s">
        <v>135</v>
      </c>
    </row>
    <row r="48" customFormat="false" ht="15" hidden="false" customHeight="false" outlineLevel="0" collapsed="false">
      <c r="A48" s="50"/>
      <c r="B48" s="51" t="s">
        <v>235</v>
      </c>
      <c r="C48" s="52" t="n">
        <f aca="false">IF($P$46=$P$45*($P$45-1)/2,SUM(C45:C47),"")</f>
        <v>3</v>
      </c>
      <c r="D48" s="52" t="n">
        <f aca="false">IF($P$46=$P$45*($P$45-1)/2,SUM(D45:D47),"")</f>
        <v>3</v>
      </c>
      <c r="E48" s="52" t="n">
        <f aca="false">IF($P$46=$P$45*($P$45-1)/2,SUM(E45:E47),"")</f>
        <v>3</v>
      </c>
      <c r="M48" s="53" t="n">
        <f aca="false">IF($P$46=$P$45*($P$45-1)/2,SUM(M45:M47),"")</f>
        <v>1</v>
      </c>
      <c r="O48" s="48" t="s">
        <v>48</v>
      </c>
      <c r="P48" s="37" t="n">
        <f aca="false">IF(ISNUMBER(P47),(P47-$P$45)/($P$45-1),"")</f>
        <v>0</v>
      </c>
    </row>
    <row r="49" customFormat="false" ht="15" hidden="false" customHeight="false" outlineLevel="0" collapsed="false">
      <c r="A49" s="50"/>
      <c r="B49" s="51" t="s">
        <v>236</v>
      </c>
      <c r="C49" s="53" t="n">
        <f aca="false">M45</f>
        <v>0.333333333333333</v>
      </c>
      <c r="D49" s="53" t="n">
        <f aca="false">M46</f>
        <v>0.333333333333333</v>
      </c>
      <c r="E49" s="53" t="n">
        <f aca="false">M47</f>
        <v>0.333333333333333</v>
      </c>
      <c r="O49" s="48" t="s">
        <v>232</v>
      </c>
      <c r="P49" s="30" t="n">
        <f aca="false">INDEX(راهنما!$C$29:$C$38,MATCH($P$45,راهنما!$B$29:$B$38,0))</f>
        <v>0.58</v>
      </c>
    </row>
    <row r="50" customFormat="false" ht="15" hidden="false" customHeight="false" outlineLevel="0" collapsed="false">
      <c r="O50" s="48" t="s">
        <v>50</v>
      </c>
      <c r="P50" s="41" t="n">
        <f aca="false">IF(ISNUMBER(P48),IF(P49=0,0,MAX(0,P48)/P49),"")</f>
        <v>0</v>
      </c>
    </row>
    <row r="51" customFormat="false" ht="15" hidden="false" customHeight="false" outlineLevel="0" collapsed="false">
      <c r="O51" s="48" t="s">
        <v>83</v>
      </c>
      <c r="P51" s="10" t="str">
        <f aca="false">IF(NOT($P$46=$P$45*($P$45-1)/2),"ناقص",IF(P50&lt;=$P$3,"سازگار","ناسازگار"))</f>
        <v>سازگار</v>
      </c>
    </row>
    <row r="52" customFormat="false" ht="15" hidden="false" customHeight="false" outlineLevel="0" collapsed="false">
      <c r="O52" s="48" t="s">
        <v>233</v>
      </c>
      <c r="P52" s="30" t="n">
        <f aca="false">IF(COUNT(AA45:AA47)=0,"",MAX(AA45:AA47))</f>
        <v>1</v>
      </c>
    </row>
    <row r="53" customFormat="false" ht="15" hidden="false" customHeight="false" outlineLevel="0" collapsed="false">
      <c r="O53" s="48" t="s">
        <v>234</v>
      </c>
      <c r="P53" s="19" t="str">
        <f aca="false">IF(ISNUMBER(P52),INDEX(A45:A47,MATCH(P52,AA45:AA47,0))&amp;" و "&amp;INDEX(C44:E44,MATCH(P52,INDEX(R45:T47,MATCH(P52,AA45:AA47,0),0),0)),"")</f>
        <v>گ۸ و گ۹</v>
      </c>
    </row>
    <row r="55" customFormat="false" ht="15" hidden="false" customHeight="false" outlineLevel="0" collapsed="false">
      <c r="A55" s="45" t="s">
        <v>240</v>
      </c>
      <c r="B55" s="45"/>
      <c r="C55" s="45"/>
      <c r="D55" s="45"/>
      <c r="E55" s="45"/>
      <c r="F55" s="45"/>
      <c r="G55" s="45"/>
      <c r="H55" s="45"/>
      <c r="I55" s="45"/>
      <c r="J55" s="45"/>
      <c r="K55" s="45"/>
      <c r="L55" s="45"/>
      <c r="M55" s="45"/>
      <c r="Q55" s="46" t="s">
        <v>224</v>
      </c>
      <c r="R55" s="46"/>
      <c r="S55" s="46"/>
      <c r="T55" s="46"/>
      <c r="U55" s="46"/>
      <c r="V55" s="46"/>
      <c r="W55" s="46"/>
      <c r="X55" s="46"/>
      <c r="Y55" s="46"/>
      <c r="Z55" s="46"/>
      <c r="AA55" s="46"/>
    </row>
    <row r="56" customFormat="false" ht="27.75" hidden="false" customHeight="true" outlineLevel="0" collapsed="false">
      <c r="A56" s="8" t="s">
        <v>199</v>
      </c>
      <c r="B56" s="8" t="s">
        <v>225</v>
      </c>
      <c r="C56" s="8" t="s">
        <v>137</v>
      </c>
      <c r="D56" s="8" t="s">
        <v>139</v>
      </c>
      <c r="E56" s="8" t="s">
        <v>141</v>
      </c>
      <c r="F56" s="8" t="s">
        <v>143</v>
      </c>
      <c r="L56" s="7" t="s">
        <v>226</v>
      </c>
      <c r="M56" s="8" t="s">
        <v>227</v>
      </c>
      <c r="Q56" s="8" t="s">
        <v>199</v>
      </c>
      <c r="R56" s="8" t="s">
        <v>137</v>
      </c>
      <c r="S56" s="8" t="s">
        <v>139</v>
      </c>
      <c r="T56" s="8" t="s">
        <v>141</v>
      </c>
      <c r="U56" s="8" t="s">
        <v>143</v>
      </c>
      <c r="AA56" s="47" t="s">
        <v>228</v>
      </c>
    </row>
    <row r="57" customFormat="false" ht="27" hidden="false" customHeight="true" outlineLevel="0" collapsed="false">
      <c r="A57" s="19" t="s">
        <v>137</v>
      </c>
      <c r="B57" s="9" t="s">
        <v>138</v>
      </c>
      <c r="C57" s="31" t="n">
        <v>1</v>
      </c>
      <c r="D57" s="31" t="n">
        <f aca="false">نسبت!I57</f>
        <v>1</v>
      </c>
      <c r="E57" s="31" t="n">
        <f aca="false">نسبت!I58</f>
        <v>2</v>
      </c>
      <c r="F57" s="31" t="n">
        <f aca="false">نسبت!I59</f>
        <v>1</v>
      </c>
      <c r="L57" s="37" t="n">
        <f aca="false">IF($P$58=$P$57*($P$57-1)/2,GEOMEAN(C57:F57),"")</f>
        <v>1.18920711500272</v>
      </c>
      <c r="M57" s="36" t="n">
        <f aca="false">IF($P$58=$P$57*($P$57-1)/2,L57/SUM($L$57:$L$60),"")</f>
        <v>0.285714285714286</v>
      </c>
      <c r="O57" s="48" t="s">
        <v>229</v>
      </c>
      <c r="P57" s="11" t="n">
        <f aca="false">ROWS(A57:A60)</f>
        <v>4</v>
      </c>
      <c r="Q57" s="8" t="s">
        <v>137</v>
      </c>
      <c r="S57" s="30" t="n">
        <f aca="false">IF(AND(ISNUMBER(D57),ISNUMBER($M57),ISNUMBER($M58)),MAX(D57*$M58/$M57,$M57/(D57*$M58)),"")</f>
        <v>1</v>
      </c>
      <c r="T57" s="30" t="n">
        <f aca="false">IF(AND(ISNUMBER(E57),ISNUMBER($M57),ISNUMBER($M59)),MAX(E57*$M59/$M57,$M57/(E57*$M59)),"")</f>
        <v>1</v>
      </c>
      <c r="U57" s="30" t="n">
        <f aca="false">IF(AND(ISNUMBER(F57),ISNUMBER($M57),ISNUMBER($M60)),MAX(F57*$M60/$M57,$M57/(F57*$M60)),"")</f>
        <v>1</v>
      </c>
      <c r="AA57" s="49" t="n">
        <f aca="false">IF(COUNT(R57:U57)=0,"",MAX(R57:U57))</f>
        <v>1</v>
      </c>
    </row>
    <row r="58" customFormat="false" ht="27" hidden="false" customHeight="true" outlineLevel="0" collapsed="false">
      <c r="A58" s="19" t="s">
        <v>139</v>
      </c>
      <c r="B58" s="9" t="s">
        <v>140</v>
      </c>
      <c r="C58" s="31" t="n">
        <f aca="false">IF(ISNUMBER(D57),1/D57,"")</f>
        <v>1</v>
      </c>
      <c r="D58" s="31" t="n">
        <v>1</v>
      </c>
      <c r="E58" s="31" t="n">
        <f aca="false">نسبت!I60</f>
        <v>2</v>
      </c>
      <c r="F58" s="31" t="n">
        <f aca="false">نسبت!I61</f>
        <v>1</v>
      </c>
      <c r="L58" s="37" t="n">
        <f aca="false">IF($P$58=$P$57*($P$57-1)/2,GEOMEAN(C58:F58),"")</f>
        <v>1.18920711500272</v>
      </c>
      <c r="M58" s="36" t="n">
        <f aca="false">IF($P$58=$P$57*($P$57-1)/2,L58/SUM($L$57:$L$60),"")</f>
        <v>0.285714285714286</v>
      </c>
      <c r="O58" s="48" t="s">
        <v>230</v>
      </c>
      <c r="P58" s="11" t="n">
        <f aca="false">(COUNT(C57:F60)-$P$57)/2</f>
        <v>6</v>
      </c>
      <c r="Q58" s="8" t="s">
        <v>139</v>
      </c>
      <c r="T58" s="30" t="n">
        <f aca="false">IF(AND(ISNUMBER(E58),ISNUMBER($M58),ISNUMBER($M59)),MAX(E58*$M59/$M58,$M58/(E58*$M59)),"")</f>
        <v>1</v>
      </c>
      <c r="U58" s="30" t="n">
        <f aca="false">IF(AND(ISNUMBER(F58),ISNUMBER($M58),ISNUMBER($M60)),MAX(F58*$M60/$M58,$M58/(F58*$M60)),"")</f>
        <v>1</v>
      </c>
      <c r="AA58" s="49" t="n">
        <f aca="false">IF(COUNT(R58:U58)=0,"",MAX(R58:U58))</f>
        <v>1</v>
      </c>
    </row>
    <row r="59" customFormat="false" ht="27" hidden="false" customHeight="true" outlineLevel="0" collapsed="false">
      <c r="A59" s="19" t="s">
        <v>141</v>
      </c>
      <c r="B59" s="9" t="s">
        <v>142</v>
      </c>
      <c r="C59" s="31" t="n">
        <f aca="false">IF(ISNUMBER(E57),1/E57,"")</f>
        <v>0.5</v>
      </c>
      <c r="D59" s="31" t="n">
        <f aca="false">IF(ISNUMBER(E58),1/E58,"")</f>
        <v>0.5</v>
      </c>
      <c r="E59" s="31" t="n">
        <v>1</v>
      </c>
      <c r="F59" s="31" t="n">
        <f aca="false">نسبت!I62</f>
        <v>0.5</v>
      </c>
      <c r="L59" s="37" t="n">
        <f aca="false">IF($P$58=$P$57*($P$57-1)/2,GEOMEAN(C59:F59),"")</f>
        <v>0.594603557501361</v>
      </c>
      <c r="M59" s="36" t="n">
        <f aca="false">IF($P$58=$P$57*($P$57-1)/2,L59/SUM($L$57:$L$60),"")</f>
        <v>0.142857142857143</v>
      </c>
      <c r="O59" s="48" t="s">
        <v>231</v>
      </c>
      <c r="P59" s="37" t="n">
        <f aca="false">IF($P$58=$P$57*($P$57-1)/2,SUMPRODUCT(C61:F61,C62:F62),"")</f>
        <v>4</v>
      </c>
      <c r="Q59" s="8" t="s">
        <v>141</v>
      </c>
      <c r="U59" s="30" t="n">
        <f aca="false">IF(AND(ISNUMBER(F59),ISNUMBER($M59),ISNUMBER($M60)),MAX(F59*$M60/$M59,$M59/(F59*$M60)),"")</f>
        <v>1</v>
      </c>
      <c r="AA59" s="49" t="n">
        <f aca="false">IF(COUNT(R59:U59)=0,"",MAX(R59:U59))</f>
        <v>1</v>
      </c>
    </row>
    <row r="60" customFormat="false" ht="27" hidden="false" customHeight="true" outlineLevel="0" collapsed="false">
      <c r="A60" s="19" t="s">
        <v>143</v>
      </c>
      <c r="B60" s="9" t="s">
        <v>144</v>
      </c>
      <c r="C60" s="31" t="n">
        <f aca="false">IF(ISNUMBER(F57),1/F57,"")</f>
        <v>1</v>
      </c>
      <c r="D60" s="31" t="n">
        <f aca="false">IF(ISNUMBER(F58),1/F58,"")</f>
        <v>1</v>
      </c>
      <c r="E60" s="31" t="n">
        <f aca="false">IF(ISNUMBER(F59),1/F59,"")</f>
        <v>2</v>
      </c>
      <c r="F60" s="31" t="n">
        <v>1</v>
      </c>
      <c r="L60" s="37" t="n">
        <f aca="false">IF($P$58=$P$57*($P$57-1)/2,GEOMEAN(C60:F60),"")</f>
        <v>1.18920711500272</v>
      </c>
      <c r="M60" s="36" t="n">
        <f aca="false">IF($P$58=$P$57*($P$57-1)/2,L60/SUM($L$57:$L$60),"")</f>
        <v>0.285714285714286</v>
      </c>
      <c r="O60" s="48" t="s">
        <v>48</v>
      </c>
      <c r="P60" s="37" t="n">
        <f aca="false">IF(ISNUMBER(P59),(P59-$P$57)/($P$57-1),"")</f>
        <v>0</v>
      </c>
      <c r="Q60" s="8" t="s">
        <v>143</v>
      </c>
    </row>
    <row r="61" customFormat="false" ht="15" hidden="false" customHeight="false" outlineLevel="0" collapsed="false">
      <c r="A61" s="50"/>
      <c r="B61" s="51" t="s">
        <v>235</v>
      </c>
      <c r="C61" s="52" t="n">
        <f aca="false">IF($P$58=$P$57*($P$57-1)/2,SUM(C57:C60),"")</f>
        <v>3.5</v>
      </c>
      <c r="D61" s="52" t="n">
        <f aca="false">IF($P$58=$P$57*($P$57-1)/2,SUM(D57:D60),"")</f>
        <v>3.5</v>
      </c>
      <c r="E61" s="52" t="n">
        <f aca="false">IF($P$58=$P$57*($P$57-1)/2,SUM(E57:E60),"")</f>
        <v>7</v>
      </c>
      <c r="F61" s="52" t="n">
        <f aca="false">IF($P$58=$P$57*($P$57-1)/2,SUM(F57:F60),"")</f>
        <v>3.5</v>
      </c>
      <c r="M61" s="53" t="n">
        <f aca="false">IF($P$58=$P$57*($P$57-1)/2,SUM(M57:M60),"")</f>
        <v>1</v>
      </c>
      <c r="O61" s="48" t="s">
        <v>232</v>
      </c>
      <c r="P61" s="30" t="n">
        <f aca="false">INDEX(راهنما!$C$29:$C$38,MATCH($P$57,راهنما!$B$29:$B$38,0))</f>
        <v>0.9</v>
      </c>
    </row>
    <row r="62" customFormat="false" ht="15" hidden="false" customHeight="false" outlineLevel="0" collapsed="false">
      <c r="A62" s="50"/>
      <c r="B62" s="51" t="s">
        <v>236</v>
      </c>
      <c r="C62" s="53" t="n">
        <f aca="false">M57</f>
        <v>0.285714285714286</v>
      </c>
      <c r="D62" s="53" t="n">
        <f aca="false">M58</f>
        <v>0.285714285714286</v>
      </c>
      <c r="E62" s="53" t="n">
        <f aca="false">M59</f>
        <v>0.142857142857143</v>
      </c>
      <c r="F62" s="53" t="n">
        <f aca="false">M60</f>
        <v>0.285714285714286</v>
      </c>
      <c r="O62" s="48" t="s">
        <v>50</v>
      </c>
      <c r="P62" s="41" t="n">
        <f aca="false">IF(ISNUMBER(P60),IF(P61=0,0,MAX(0,P60)/P61),"")</f>
        <v>0</v>
      </c>
    </row>
    <row r="63" customFormat="false" ht="15" hidden="false" customHeight="false" outlineLevel="0" collapsed="false">
      <c r="O63" s="48" t="s">
        <v>83</v>
      </c>
      <c r="P63" s="10" t="str">
        <f aca="false">IF(NOT($P$58=$P$57*($P$57-1)/2),"ناقص",IF(P62&lt;=$P$3,"سازگار","ناسازگار"))</f>
        <v>سازگار</v>
      </c>
    </row>
    <row r="64" customFormat="false" ht="15" hidden="false" customHeight="false" outlineLevel="0" collapsed="false">
      <c r="O64" s="48" t="s">
        <v>233</v>
      </c>
      <c r="P64" s="30" t="n">
        <f aca="false">IF(COUNT(AA57:AA60)=0,"",MAX(AA57:AA60))</f>
        <v>1</v>
      </c>
    </row>
    <row r="65" customFormat="false" ht="15" hidden="false" customHeight="false" outlineLevel="0" collapsed="false">
      <c r="O65" s="48" t="s">
        <v>234</v>
      </c>
      <c r="P65" s="19" t="str">
        <f aca="false">IF(ISNUMBER(P64),INDEX(A57:A60,MATCH(P64,AA57:AA60,0))&amp;" و "&amp;INDEX(C56:F56,MATCH(P64,INDEX(R57:U60,MATCH(P64,AA57:AA60,0),0),0)),"")</f>
        <v>گ۱۱ و گ۱۲</v>
      </c>
    </row>
    <row r="67" customFormat="false" ht="15" hidden="false" customHeight="false" outlineLevel="0" collapsed="false">
      <c r="A67" s="45" t="s">
        <v>241</v>
      </c>
      <c r="B67" s="45"/>
      <c r="C67" s="45"/>
      <c r="D67" s="45"/>
      <c r="E67" s="45"/>
      <c r="F67" s="45"/>
      <c r="G67" s="45"/>
      <c r="H67" s="45"/>
      <c r="I67" s="45"/>
      <c r="J67" s="45"/>
      <c r="K67" s="45"/>
      <c r="L67" s="45"/>
      <c r="M67" s="45"/>
      <c r="Q67" s="46" t="s">
        <v>224</v>
      </c>
      <c r="R67" s="46"/>
      <c r="S67" s="46"/>
      <c r="T67" s="46"/>
      <c r="U67" s="46"/>
      <c r="V67" s="46"/>
      <c r="W67" s="46"/>
      <c r="X67" s="46"/>
      <c r="Y67" s="46"/>
      <c r="Z67" s="46"/>
      <c r="AA67" s="46"/>
    </row>
    <row r="68" customFormat="false" ht="27.75" hidden="false" customHeight="true" outlineLevel="0" collapsed="false">
      <c r="A68" s="8" t="s">
        <v>199</v>
      </c>
      <c r="B68" s="8" t="s">
        <v>225</v>
      </c>
      <c r="C68" s="8" t="s">
        <v>145</v>
      </c>
      <c r="D68" s="8" t="s">
        <v>147</v>
      </c>
      <c r="E68" s="8" t="s">
        <v>149</v>
      </c>
      <c r="F68" s="8" t="s">
        <v>151</v>
      </c>
      <c r="L68" s="7" t="s">
        <v>226</v>
      </c>
      <c r="M68" s="8" t="s">
        <v>227</v>
      </c>
      <c r="Q68" s="8" t="s">
        <v>199</v>
      </c>
      <c r="R68" s="8" t="s">
        <v>145</v>
      </c>
      <c r="S68" s="8" t="s">
        <v>147</v>
      </c>
      <c r="T68" s="8" t="s">
        <v>149</v>
      </c>
      <c r="U68" s="8" t="s">
        <v>151</v>
      </c>
      <c r="AA68" s="47" t="s">
        <v>228</v>
      </c>
    </row>
    <row r="69" customFormat="false" ht="27" hidden="false" customHeight="true" outlineLevel="0" collapsed="false">
      <c r="A69" s="19" t="s">
        <v>145</v>
      </c>
      <c r="B69" s="9" t="s">
        <v>146</v>
      </c>
      <c r="C69" s="31" t="n">
        <v>1</v>
      </c>
      <c r="D69" s="31" t="n">
        <f aca="false">نسبت!I63</f>
        <v>2</v>
      </c>
      <c r="E69" s="31" t="n">
        <f aca="false">نسبت!I64</f>
        <v>2</v>
      </c>
      <c r="F69" s="31" t="n">
        <f aca="false">نسبت!I65</f>
        <v>2</v>
      </c>
      <c r="L69" s="37" t="n">
        <f aca="false">IF($P$70=$P$69*($P$69-1)/2,GEOMEAN(C69:F69),"")</f>
        <v>1.68179283050743</v>
      </c>
      <c r="M69" s="36" t="n">
        <f aca="false">IF($P$70=$P$69*($P$69-1)/2,L69/SUM($L$69:$L$72),"")</f>
        <v>0.4</v>
      </c>
      <c r="O69" s="48" t="s">
        <v>229</v>
      </c>
      <c r="P69" s="11" t="n">
        <f aca="false">ROWS(A69:A72)</f>
        <v>4</v>
      </c>
      <c r="Q69" s="8" t="s">
        <v>145</v>
      </c>
      <c r="S69" s="30" t="n">
        <f aca="false">IF(AND(ISNUMBER(D69),ISNUMBER($M69),ISNUMBER($M70)),MAX(D69*$M70/$M69,$M69/(D69*$M70)),"")</f>
        <v>1</v>
      </c>
      <c r="T69" s="30" t="n">
        <f aca="false">IF(AND(ISNUMBER(E69),ISNUMBER($M69),ISNUMBER($M71)),MAX(E69*$M71/$M69,$M69/(E69*$M71)),"")</f>
        <v>1</v>
      </c>
      <c r="U69" s="30" t="n">
        <f aca="false">IF(AND(ISNUMBER(F69),ISNUMBER($M69),ISNUMBER($M72)),MAX(F69*$M72/$M69,$M69/(F69*$M72)),"")</f>
        <v>1</v>
      </c>
      <c r="AA69" s="49" t="n">
        <f aca="false">IF(COUNT(R69:U69)=0,"",MAX(R69:U69))</f>
        <v>1</v>
      </c>
    </row>
    <row r="70" customFormat="false" ht="27" hidden="false" customHeight="true" outlineLevel="0" collapsed="false">
      <c r="A70" s="19" t="s">
        <v>147</v>
      </c>
      <c r="B70" s="9" t="s">
        <v>148</v>
      </c>
      <c r="C70" s="31" t="n">
        <f aca="false">IF(ISNUMBER(D69),1/D69,"")</f>
        <v>0.5</v>
      </c>
      <c r="D70" s="31" t="n">
        <v>1</v>
      </c>
      <c r="E70" s="31" t="n">
        <f aca="false">نسبت!I66</f>
        <v>1</v>
      </c>
      <c r="F70" s="31" t="n">
        <f aca="false">نسبت!I67</f>
        <v>1</v>
      </c>
      <c r="L70" s="37" t="n">
        <f aca="false">IF($P$70=$P$69*($P$69-1)/2,GEOMEAN(C70:F70),"")</f>
        <v>0.840896415253715</v>
      </c>
      <c r="M70" s="36" t="n">
        <f aca="false">IF($P$70=$P$69*($P$69-1)/2,L70/SUM($L$69:$L$72),"")</f>
        <v>0.2</v>
      </c>
      <c r="O70" s="48" t="s">
        <v>230</v>
      </c>
      <c r="P70" s="11" t="n">
        <f aca="false">(COUNT(C69:F72)-$P$69)/2</f>
        <v>6</v>
      </c>
      <c r="Q70" s="8" t="s">
        <v>147</v>
      </c>
      <c r="T70" s="30" t="n">
        <f aca="false">IF(AND(ISNUMBER(E70),ISNUMBER($M70),ISNUMBER($M71)),MAX(E70*$M71/$M70,$M70/(E70*$M71)),"")</f>
        <v>1</v>
      </c>
      <c r="U70" s="30" t="n">
        <f aca="false">IF(AND(ISNUMBER(F70),ISNUMBER($M70),ISNUMBER($M72)),MAX(F70*$M72/$M70,$M70/(F70*$M72)),"")</f>
        <v>1</v>
      </c>
      <c r="AA70" s="49" t="n">
        <f aca="false">IF(COUNT(R70:U70)=0,"",MAX(R70:U70))</f>
        <v>1</v>
      </c>
    </row>
    <row r="71" customFormat="false" ht="27" hidden="false" customHeight="true" outlineLevel="0" collapsed="false">
      <c r="A71" s="19" t="s">
        <v>149</v>
      </c>
      <c r="B71" s="9" t="s">
        <v>150</v>
      </c>
      <c r="C71" s="31" t="n">
        <f aca="false">IF(ISNUMBER(E69),1/E69,"")</f>
        <v>0.5</v>
      </c>
      <c r="D71" s="31" t="n">
        <f aca="false">IF(ISNUMBER(E70),1/E70,"")</f>
        <v>1</v>
      </c>
      <c r="E71" s="31" t="n">
        <v>1</v>
      </c>
      <c r="F71" s="31" t="n">
        <f aca="false">نسبت!I68</f>
        <v>1</v>
      </c>
      <c r="L71" s="37" t="n">
        <f aca="false">IF($P$70=$P$69*($P$69-1)/2,GEOMEAN(C71:F71),"")</f>
        <v>0.840896415253715</v>
      </c>
      <c r="M71" s="36" t="n">
        <f aca="false">IF($P$70=$P$69*($P$69-1)/2,L71/SUM($L$69:$L$72),"")</f>
        <v>0.2</v>
      </c>
      <c r="O71" s="48" t="s">
        <v>231</v>
      </c>
      <c r="P71" s="37" t="n">
        <f aca="false">IF($P$70=$P$69*($P$69-1)/2,SUMPRODUCT(C73:F73,C74:F74),"")</f>
        <v>4</v>
      </c>
      <c r="Q71" s="8" t="s">
        <v>149</v>
      </c>
      <c r="U71" s="30" t="n">
        <f aca="false">IF(AND(ISNUMBER(F71),ISNUMBER($M71),ISNUMBER($M72)),MAX(F71*$M72/$M71,$M71/(F71*$M72)),"")</f>
        <v>1</v>
      </c>
      <c r="AA71" s="49" t="n">
        <f aca="false">IF(COUNT(R71:U71)=0,"",MAX(R71:U71))</f>
        <v>1</v>
      </c>
    </row>
    <row r="72" customFormat="false" ht="27" hidden="false" customHeight="true" outlineLevel="0" collapsed="false">
      <c r="A72" s="19" t="s">
        <v>151</v>
      </c>
      <c r="B72" s="9" t="s">
        <v>152</v>
      </c>
      <c r="C72" s="31" t="n">
        <f aca="false">IF(ISNUMBER(F69),1/F69,"")</f>
        <v>0.5</v>
      </c>
      <c r="D72" s="31" t="n">
        <f aca="false">IF(ISNUMBER(F70),1/F70,"")</f>
        <v>1</v>
      </c>
      <c r="E72" s="31" t="n">
        <f aca="false">IF(ISNUMBER(F71),1/F71,"")</f>
        <v>1</v>
      </c>
      <c r="F72" s="31" t="n">
        <v>1</v>
      </c>
      <c r="L72" s="37" t="n">
        <f aca="false">IF($P$70=$P$69*($P$69-1)/2,GEOMEAN(C72:F72),"")</f>
        <v>0.840896415253715</v>
      </c>
      <c r="M72" s="36" t="n">
        <f aca="false">IF($P$70=$P$69*($P$69-1)/2,L72/SUM($L$69:$L$72),"")</f>
        <v>0.2</v>
      </c>
      <c r="O72" s="48" t="s">
        <v>48</v>
      </c>
      <c r="P72" s="37" t="n">
        <f aca="false">IF(ISNUMBER(P71),(P71-$P$69)/($P$69-1),"")</f>
        <v>0</v>
      </c>
      <c r="Q72" s="8" t="s">
        <v>151</v>
      </c>
    </row>
    <row r="73" customFormat="false" ht="15" hidden="false" customHeight="false" outlineLevel="0" collapsed="false">
      <c r="A73" s="50"/>
      <c r="B73" s="51" t="s">
        <v>235</v>
      </c>
      <c r="C73" s="52" t="n">
        <f aca="false">IF($P$70=$P$69*($P$69-1)/2,SUM(C69:C72),"")</f>
        <v>2.5</v>
      </c>
      <c r="D73" s="52" t="n">
        <f aca="false">IF($P$70=$P$69*($P$69-1)/2,SUM(D69:D72),"")</f>
        <v>5</v>
      </c>
      <c r="E73" s="52" t="n">
        <f aca="false">IF($P$70=$P$69*($P$69-1)/2,SUM(E69:E72),"")</f>
        <v>5</v>
      </c>
      <c r="F73" s="52" t="n">
        <f aca="false">IF($P$70=$P$69*($P$69-1)/2,SUM(F69:F72),"")</f>
        <v>5</v>
      </c>
      <c r="M73" s="53" t="n">
        <f aca="false">IF($P$70=$P$69*($P$69-1)/2,SUM(M69:M72),"")</f>
        <v>1</v>
      </c>
      <c r="O73" s="48" t="s">
        <v>232</v>
      </c>
      <c r="P73" s="30" t="n">
        <f aca="false">INDEX(راهنما!$C$29:$C$38,MATCH($P$69,راهنما!$B$29:$B$38,0))</f>
        <v>0.9</v>
      </c>
    </row>
    <row r="74" customFormat="false" ht="15" hidden="false" customHeight="false" outlineLevel="0" collapsed="false">
      <c r="A74" s="50"/>
      <c r="B74" s="51" t="s">
        <v>236</v>
      </c>
      <c r="C74" s="53" t="n">
        <f aca="false">M69</f>
        <v>0.4</v>
      </c>
      <c r="D74" s="53" t="n">
        <f aca="false">M70</f>
        <v>0.2</v>
      </c>
      <c r="E74" s="53" t="n">
        <f aca="false">M71</f>
        <v>0.2</v>
      </c>
      <c r="F74" s="53" t="n">
        <f aca="false">M72</f>
        <v>0.2</v>
      </c>
      <c r="O74" s="48" t="s">
        <v>50</v>
      </c>
      <c r="P74" s="41" t="n">
        <f aca="false">IF(ISNUMBER(P72),IF(P73=0,0,MAX(0,P72)/P73),"")</f>
        <v>0</v>
      </c>
    </row>
    <row r="75" customFormat="false" ht="15" hidden="false" customHeight="false" outlineLevel="0" collapsed="false">
      <c r="O75" s="48" t="s">
        <v>83</v>
      </c>
      <c r="P75" s="10" t="str">
        <f aca="false">IF(NOT($P$70=$P$69*($P$69-1)/2),"ناقص",IF(P74&lt;=$P$3,"سازگار","ناسازگار"))</f>
        <v>سازگار</v>
      </c>
    </row>
    <row r="76" customFormat="false" ht="15" hidden="false" customHeight="false" outlineLevel="0" collapsed="false">
      <c r="O76" s="48" t="s">
        <v>233</v>
      </c>
      <c r="P76" s="30" t="n">
        <f aca="false">IF(COUNT(AA69:AA72)=0,"",MAX(AA69:AA72))</f>
        <v>1</v>
      </c>
    </row>
    <row r="77" customFormat="false" ht="15" hidden="false" customHeight="false" outlineLevel="0" collapsed="false">
      <c r="O77" s="48" t="s">
        <v>234</v>
      </c>
      <c r="P77" s="19" t="str">
        <f aca="false">IF(ISNUMBER(P76),INDEX(A69:A72,MATCH(P76,AA69:AA72,0))&amp;" و "&amp;INDEX(C68:F68,MATCH(P76,INDEX(R69:U72,MATCH(P76,AA69:AA72,0),0),0)),"")</f>
        <v>گ۱۵ و گ۱۶</v>
      </c>
    </row>
    <row r="79" customFormat="false" ht="15" hidden="false" customHeight="false" outlineLevel="0" collapsed="false">
      <c r="A79" s="45" t="s">
        <v>242</v>
      </c>
      <c r="B79" s="45"/>
      <c r="C79" s="45"/>
      <c r="D79" s="45"/>
      <c r="E79" s="45"/>
      <c r="F79" s="45"/>
      <c r="G79" s="45"/>
      <c r="H79" s="45"/>
      <c r="I79" s="45"/>
      <c r="J79" s="45"/>
      <c r="K79" s="45"/>
      <c r="L79" s="45"/>
      <c r="M79" s="45"/>
      <c r="Q79" s="46" t="s">
        <v>224</v>
      </c>
      <c r="R79" s="46"/>
      <c r="S79" s="46"/>
      <c r="T79" s="46"/>
      <c r="U79" s="46"/>
      <c r="V79" s="46"/>
      <c r="W79" s="46"/>
      <c r="X79" s="46"/>
      <c r="Y79" s="46"/>
      <c r="Z79" s="46"/>
      <c r="AA79" s="46"/>
    </row>
    <row r="80" customFormat="false" ht="27.75" hidden="false" customHeight="true" outlineLevel="0" collapsed="false">
      <c r="A80" s="8" t="s">
        <v>199</v>
      </c>
      <c r="B80" s="8" t="s">
        <v>225</v>
      </c>
      <c r="C80" s="8" t="s">
        <v>153</v>
      </c>
      <c r="D80" s="8" t="s">
        <v>155</v>
      </c>
      <c r="E80" s="8" t="s">
        <v>157</v>
      </c>
      <c r="L80" s="7" t="s">
        <v>226</v>
      </c>
      <c r="M80" s="8" t="s">
        <v>227</v>
      </c>
      <c r="Q80" s="8" t="s">
        <v>199</v>
      </c>
      <c r="R80" s="8" t="s">
        <v>153</v>
      </c>
      <c r="S80" s="8" t="s">
        <v>155</v>
      </c>
      <c r="T80" s="8" t="s">
        <v>157</v>
      </c>
      <c r="AA80" s="47" t="s">
        <v>228</v>
      </c>
    </row>
    <row r="81" customFormat="false" ht="27" hidden="false" customHeight="true" outlineLevel="0" collapsed="false">
      <c r="A81" s="19" t="s">
        <v>153</v>
      </c>
      <c r="B81" s="9" t="s">
        <v>154</v>
      </c>
      <c r="C81" s="31" t="n">
        <v>1</v>
      </c>
      <c r="D81" s="31" t="n">
        <f aca="false">نسبت!I69</f>
        <v>2</v>
      </c>
      <c r="E81" s="31" t="n">
        <f aca="false">نسبت!I70</f>
        <v>2</v>
      </c>
      <c r="L81" s="37" t="n">
        <f aca="false">IF($P$82=$P$81*($P$81-1)/2,GEOMEAN(C81:E81),"")</f>
        <v>1.5874010519682</v>
      </c>
      <c r="M81" s="36" t="n">
        <f aca="false">IF($P$82=$P$81*($P$81-1)/2,L81/SUM($L$81:$L$83),"")</f>
        <v>0.5</v>
      </c>
      <c r="O81" s="48" t="s">
        <v>229</v>
      </c>
      <c r="P81" s="11" t="n">
        <f aca="false">ROWS(A81:A83)</f>
        <v>3</v>
      </c>
      <c r="Q81" s="8" t="s">
        <v>153</v>
      </c>
      <c r="S81" s="30" t="n">
        <f aca="false">IF(AND(ISNUMBER(D81),ISNUMBER($M81),ISNUMBER($M82)),MAX(D81*$M82/$M81,$M81/(D81*$M82)),"")</f>
        <v>1</v>
      </c>
      <c r="T81" s="30" t="n">
        <f aca="false">IF(AND(ISNUMBER(E81),ISNUMBER($M81),ISNUMBER($M83)),MAX(E81*$M83/$M81,$M81/(E81*$M83)),"")</f>
        <v>1</v>
      </c>
      <c r="AA81" s="49" t="n">
        <f aca="false">IF(COUNT(R81:T81)=0,"",MAX(R81:T81))</f>
        <v>1</v>
      </c>
    </row>
    <row r="82" customFormat="false" ht="27" hidden="false" customHeight="true" outlineLevel="0" collapsed="false">
      <c r="A82" s="19" t="s">
        <v>155</v>
      </c>
      <c r="B82" s="9" t="s">
        <v>156</v>
      </c>
      <c r="C82" s="31" t="n">
        <f aca="false">IF(ISNUMBER(D81),1/D81,"")</f>
        <v>0.5</v>
      </c>
      <c r="D82" s="31" t="n">
        <v>1</v>
      </c>
      <c r="E82" s="31" t="n">
        <f aca="false">نسبت!I71</f>
        <v>1</v>
      </c>
      <c r="L82" s="37" t="n">
        <f aca="false">IF($P$82=$P$81*($P$81-1)/2,GEOMEAN(C82:E82),"")</f>
        <v>0.7937005259841</v>
      </c>
      <c r="M82" s="36" t="n">
        <f aca="false">IF($P$82=$P$81*($P$81-1)/2,L82/SUM($L$81:$L$83),"")</f>
        <v>0.25</v>
      </c>
      <c r="O82" s="48" t="s">
        <v>230</v>
      </c>
      <c r="P82" s="11" t="n">
        <f aca="false">(COUNT(C81:E83)-$P$81)/2</f>
        <v>3</v>
      </c>
      <c r="Q82" s="8" t="s">
        <v>155</v>
      </c>
      <c r="T82" s="30" t="n">
        <f aca="false">IF(AND(ISNUMBER(E82),ISNUMBER($M82),ISNUMBER($M83)),MAX(E82*$M83/$M82,$M82/(E82*$M83)),"")</f>
        <v>1</v>
      </c>
      <c r="AA82" s="49" t="n">
        <f aca="false">IF(COUNT(R82:T82)=0,"",MAX(R82:T82))</f>
        <v>1</v>
      </c>
    </row>
    <row r="83" customFormat="false" ht="27" hidden="false" customHeight="true" outlineLevel="0" collapsed="false">
      <c r="A83" s="19" t="s">
        <v>157</v>
      </c>
      <c r="B83" s="9" t="s">
        <v>158</v>
      </c>
      <c r="C83" s="31" t="n">
        <f aca="false">IF(ISNUMBER(E81),1/E81,"")</f>
        <v>0.5</v>
      </c>
      <c r="D83" s="31" t="n">
        <f aca="false">IF(ISNUMBER(E82),1/E82,"")</f>
        <v>1</v>
      </c>
      <c r="E83" s="31" t="n">
        <v>1</v>
      </c>
      <c r="L83" s="37" t="n">
        <f aca="false">IF($P$82=$P$81*($P$81-1)/2,GEOMEAN(C83:E83),"")</f>
        <v>0.7937005259841</v>
      </c>
      <c r="M83" s="36" t="n">
        <f aca="false">IF($P$82=$P$81*($P$81-1)/2,L83/SUM($L$81:$L$83),"")</f>
        <v>0.25</v>
      </c>
      <c r="O83" s="48" t="s">
        <v>231</v>
      </c>
      <c r="P83" s="37" t="n">
        <f aca="false">IF($P$82=$P$81*($P$81-1)/2,SUMPRODUCT(C84:E84,C85:E85),"")</f>
        <v>3</v>
      </c>
      <c r="Q83" s="8" t="s">
        <v>157</v>
      </c>
    </row>
    <row r="84" customFormat="false" ht="15" hidden="false" customHeight="false" outlineLevel="0" collapsed="false">
      <c r="A84" s="50"/>
      <c r="B84" s="51" t="s">
        <v>235</v>
      </c>
      <c r="C84" s="52" t="n">
        <f aca="false">IF($P$82=$P$81*($P$81-1)/2,SUM(C81:C83),"")</f>
        <v>2</v>
      </c>
      <c r="D84" s="52" t="n">
        <f aca="false">IF($P$82=$P$81*($P$81-1)/2,SUM(D81:D83),"")</f>
        <v>4</v>
      </c>
      <c r="E84" s="52" t="n">
        <f aca="false">IF($P$82=$P$81*($P$81-1)/2,SUM(E81:E83),"")</f>
        <v>4</v>
      </c>
      <c r="M84" s="53" t="n">
        <f aca="false">IF($P$82=$P$81*($P$81-1)/2,SUM(M81:M83),"")</f>
        <v>1</v>
      </c>
      <c r="O84" s="48" t="s">
        <v>48</v>
      </c>
      <c r="P84" s="37" t="n">
        <f aca="false">IF(ISNUMBER(P83),(P83-$P$81)/($P$81-1),"")</f>
        <v>0</v>
      </c>
    </row>
    <row r="85" customFormat="false" ht="15" hidden="false" customHeight="false" outlineLevel="0" collapsed="false">
      <c r="A85" s="50"/>
      <c r="B85" s="51" t="s">
        <v>236</v>
      </c>
      <c r="C85" s="53" t="n">
        <f aca="false">M81</f>
        <v>0.5</v>
      </c>
      <c r="D85" s="53" t="n">
        <f aca="false">M82</f>
        <v>0.25</v>
      </c>
      <c r="E85" s="53" t="n">
        <f aca="false">M83</f>
        <v>0.25</v>
      </c>
      <c r="O85" s="48" t="s">
        <v>232</v>
      </c>
      <c r="P85" s="30" t="n">
        <f aca="false">INDEX(راهنما!$C$29:$C$38,MATCH($P$81,راهنما!$B$29:$B$38,0))</f>
        <v>0.58</v>
      </c>
    </row>
    <row r="86" customFormat="false" ht="15" hidden="false" customHeight="false" outlineLevel="0" collapsed="false">
      <c r="O86" s="48" t="s">
        <v>50</v>
      </c>
      <c r="P86" s="41" t="n">
        <f aca="false">IF(ISNUMBER(P84),IF(P85=0,0,MAX(0,P84)/P85),"")</f>
        <v>0</v>
      </c>
    </row>
    <row r="87" customFormat="false" ht="15" hidden="false" customHeight="false" outlineLevel="0" collapsed="false">
      <c r="O87" s="48" t="s">
        <v>83</v>
      </c>
      <c r="P87" s="10" t="str">
        <f aca="false">IF(NOT($P$82=$P$81*($P$81-1)/2),"ناقص",IF(P86&lt;=$P$3,"سازگار","ناسازگار"))</f>
        <v>سازگار</v>
      </c>
    </row>
    <row r="88" customFormat="false" ht="15" hidden="false" customHeight="false" outlineLevel="0" collapsed="false">
      <c r="O88" s="48" t="s">
        <v>233</v>
      </c>
      <c r="P88" s="30" t="n">
        <f aca="false">IF(COUNT(AA81:AA83)=0,"",MAX(AA81:AA83))</f>
        <v>1</v>
      </c>
    </row>
    <row r="89" customFormat="false" ht="15" hidden="false" customHeight="false" outlineLevel="0" collapsed="false">
      <c r="O89" s="48" t="s">
        <v>234</v>
      </c>
      <c r="P89" s="19" t="str">
        <f aca="false">IF(ISNUMBER(P88),INDEX(A81:A83,MATCH(P88,AA81:AA83,0))&amp;" و "&amp;INDEX(C80:E80,MATCH(P88,INDEX(R81:T83,MATCH(P88,AA81:AA83,0),0),0)),"")</f>
        <v>گ۱۹ و گ۲۰</v>
      </c>
    </row>
    <row r="91" customFormat="false" ht="15" hidden="false" customHeight="false" outlineLevel="0" collapsed="false">
      <c r="A91" s="45" t="s">
        <v>243</v>
      </c>
      <c r="B91" s="45"/>
      <c r="C91" s="45"/>
      <c r="D91" s="45"/>
      <c r="E91" s="45"/>
      <c r="F91" s="45"/>
      <c r="G91" s="45"/>
      <c r="H91" s="45"/>
      <c r="I91" s="45"/>
      <c r="J91" s="45"/>
      <c r="K91" s="45"/>
      <c r="L91" s="45"/>
      <c r="M91" s="45"/>
      <c r="Q91" s="46" t="s">
        <v>224</v>
      </c>
      <c r="R91" s="46"/>
      <c r="S91" s="46"/>
      <c r="T91" s="46"/>
      <c r="U91" s="46"/>
      <c r="V91" s="46"/>
      <c r="W91" s="46"/>
      <c r="X91" s="46"/>
      <c r="Y91" s="46"/>
      <c r="Z91" s="46"/>
      <c r="AA91" s="46"/>
    </row>
    <row r="92" customFormat="false" ht="27.75" hidden="false" customHeight="true" outlineLevel="0" collapsed="false">
      <c r="A92" s="8" t="s">
        <v>199</v>
      </c>
      <c r="B92" s="8" t="s">
        <v>225</v>
      </c>
      <c r="C92" s="8" t="s">
        <v>159</v>
      </c>
      <c r="D92" s="8" t="s">
        <v>161</v>
      </c>
      <c r="E92" s="8" t="s">
        <v>163</v>
      </c>
      <c r="L92" s="7" t="s">
        <v>226</v>
      </c>
      <c r="M92" s="8" t="s">
        <v>227</v>
      </c>
      <c r="Q92" s="8" t="s">
        <v>199</v>
      </c>
      <c r="R92" s="8" t="s">
        <v>159</v>
      </c>
      <c r="S92" s="8" t="s">
        <v>161</v>
      </c>
      <c r="T92" s="8" t="s">
        <v>163</v>
      </c>
      <c r="AA92" s="47" t="s">
        <v>228</v>
      </c>
    </row>
    <row r="93" customFormat="false" ht="27" hidden="false" customHeight="true" outlineLevel="0" collapsed="false">
      <c r="A93" s="19" t="s">
        <v>159</v>
      </c>
      <c r="B93" s="9" t="s">
        <v>160</v>
      </c>
      <c r="C93" s="31" t="n">
        <v>1</v>
      </c>
      <c r="D93" s="31" t="n">
        <f aca="false">نسبت!I72</f>
        <v>1</v>
      </c>
      <c r="E93" s="31" t="n">
        <f aca="false">نسبت!I73</f>
        <v>2</v>
      </c>
      <c r="L93" s="37" t="n">
        <f aca="false">IF($P$94=$P$93*($P$93-1)/2,GEOMEAN(C93:E93),"")</f>
        <v>1.25992104989487</v>
      </c>
      <c r="M93" s="36" t="n">
        <f aca="false">IF($P$94=$P$93*($P$93-1)/2,L93/SUM($L$93:$L$95),"")</f>
        <v>0.4</v>
      </c>
      <c r="O93" s="48" t="s">
        <v>229</v>
      </c>
      <c r="P93" s="11" t="n">
        <f aca="false">ROWS(A93:A95)</f>
        <v>3</v>
      </c>
      <c r="Q93" s="8" t="s">
        <v>159</v>
      </c>
      <c r="S93" s="30" t="n">
        <f aca="false">IF(AND(ISNUMBER(D93),ISNUMBER($M93),ISNUMBER($M94)),MAX(D93*$M94/$M93,$M93/(D93*$M94)),"")</f>
        <v>1</v>
      </c>
      <c r="T93" s="30" t="n">
        <f aca="false">IF(AND(ISNUMBER(E93),ISNUMBER($M93),ISNUMBER($M95)),MAX(E93*$M95/$M93,$M93/(E93*$M95)),"")</f>
        <v>1</v>
      </c>
      <c r="AA93" s="49" t="n">
        <f aca="false">IF(COUNT(R93:T93)=0,"",MAX(R93:T93))</f>
        <v>1</v>
      </c>
    </row>
    <row r="94" customFormat="false" ht="27" hidden="false" customHeight="true" outlineLevel="0" collapsed="false">
      <c r="A94" s="19" t="s">
        <v>161</v>
      </c>
      <c r="B94" s="9" t="s">
        <v>162</v>
      </c>
      <c r="C94" s="31" t="n">
        <f aca="false">IF(ISNUMBER(D93),1/D93,"")</f>
        <v>1</v>
      </c>
      <c r="D94" s="31" t="n">
        <v>1</v>
      </c>
      <c r="E94" s="31" t="n">
        <f aca="false">نسبت!I74</f>
        <v>2</v>
      </c>
      <c r="L94" s="37" t="n">
        <f aca="false">IF($P$94=$P$93*($P$93-1)/2,GEOMEAN(C94:E94),"")</f>
        <v>1.25992104989487</v>
      </c>
      <c r="M94" s="36" t="n">
        <f aca="false">IF($P$94=$P$93*($P$93-1)/2,L94/SUM($L$93:$L$95),"")</f>
        <v>0.4</v>
      </c>
      <c r="O94" s="48" t="s">
        <v>230</v>
      </c>
      <c r="P94" s="11" t="n">
        <f aca="false">(COUNT(C93:E95)-$P$93)/2</f>
        <v>3</v>
      </c>
      <c r="Q94" s="8" t="s">
        <v>161</v>
      </c>
      <c r="T94" s="30" t="n">
        <f aca="false">IF(AND(ISNUMBER(E94),ISNUMBER($M94),ISNUMBER($M95)),MAX(E94*$M95/$M94,$M94/(E94*$M95)),"")</f>
        <v>1</v>
      </c>
      <c r="AA94" s="49" t="n">
        <f aca="false">IF(COUNT(R94:T94)=0,"",MAX(R94:T94))</f>
        <v>1</v>
      </c>
    </row>
    <row r="95" customFormat="false" ht="27" hidden="false" customHeight="true" outlineLevel="0" collapsed="false">
      <c r="A95" s="19" t="s">
        <v>163</v>
      </c>
      <c r="B95" s="9" t="s">
        <v>164</v>
      </c>
      <c r="C95" s="31" t="n">
        <f aca="false">IF(ISNUMBER(E93),1/E93,"")</f>
        <v>0.5</v>
      </c>
      <c r="D95" s="31" t="n">
        <f aca="false">IF(ISNUMBER(E94),1/E94,"")</f>
        <v>0.5</v>
      </c>
      <c r="E95" s="31" t="n">
        <v>1</v>
      </c>
      <c r="L95" s="37" t="n">
        <f aca="false">IF($P$94=$P$93*($P$93-1)/2,GEOMEAN(C95:E95),"")</f>
        <v>0.629960524947437</v>
      </c>
      <c r="M95" s="36" t="n">
        <f aca="false">IF($P$94=$P$93*($P$93-1)/2,L95/SUM($L$93:$L$95),"")</f>
        <v>0.2</v>
      </c>
      <c r="O95" s="48" t="s">
        <v>231</v>
      </c>
      <c r="P95" s="37" t="n">
        <f aca="false">IF($P$94=$P$93*($P$93-1)/2,SUMPRODUCT(C96:E96,C97:E97),"")</f>
        <v>3</v>
      </c>
      <c r="Q95" s="8" t="s">
        <v>163</v>
      </c>
    </row>
    <row r="96" customFormat="false" ht="15" hidden="false" customHeight="false" outlineLevel="0" collapsed="false">
      <c r="A96" s="50"/>
      <c r="B96" s="51" t="s">
        <v>235</v>
      </c>
      <c r="C96" s="52" t="n">
        <f aca="false">IF($P$94=$P$93*($P$93-1)/2,SUM(C93:C95),"")</f>
        <v>2.5</v>
      </c>
      <c r="D96" s="52" t="n">
        <f aca="false">IF($P$94=$P$93*($P$93-1)/2,SUM(D93:D95),"")</f>
        <v>2.5</v>
      </c>
      <c r="E96" s="52" t="n">
        <f aca="false">IF($P$94=$P$93*($P$93-1)/2,SUM(E93:E95),"")</f>
        <v>5</v>
      </c>
      <c r="M96" s="53" t="n">
        <f aca="false">IF($P$94=$P$93*($P$93-1)/2,SUM(M93:M95),"")</f>
        <v>1</v>
      </c>
      <c r="O96" s="48" t="s">
        <v>48</v>
      </c>
      <c r="P96" s="37" t="n">
        <f aca="false">IF(ISNUMBER(P95),(P95-$P$93)/($P$93-1),"")</f>
        <v>0</v>
      </c>
    </row>
    <row r="97" customFormat="false" ht="15" hidden="false" customHeight="false" outlineLevel="0" collapsed="false">
      <c r="A97" s="50"/>
      <c r="B97" s="51" t="s">
        <v>236</v>
      </c>
      <c r="C97" s="53" t="n">
        <f aca="false">M93</f>
        <v>0.4</v>
      </c>
      <c r="D97" s="53" t="n">
        <f aca="false">M94</f>
        <v>0.4</v>
      </c>
      <c r="E97" s="53" t="n">
        <f aca="false">M95</f>
        <v>0.2</v>
      </c>
      <c r="O97" s="48" t="s">
        <v>232</v>
      </c>
      <c r="P97" s="30" t="n">
        <f aca="false">INDEX(راهنما!$C$29:$C$38,MATCH($P$93,راهنما!$B$29:$B$38,0))</f>
        <v>0.58</v>
      </c>
    </row>
    <row r="98" customFormat="false" ht="15" hidden="false" customHeight="false" outlineLevel="0" collapsed="false">
      <c r="O98" s="48" t="s">
        <v>50</v>
      </c>
      <c r="P98" s="41" t="n">
        <f aca="false">IF(ISNUMBER(P96),IF(P97=0,0,MAX(0,P96)/P97),"")</f>
        <v>0</v>
      </c>
    </row>
    <row r="99" customFormat="false" ht="15" hidden="false" customHeight="false" outlineLevel="0" collapsed="false">
      <c r="O99" s="48" t="s">
        <v>83</v>
      </c>
      <c r="P99" s="10" t="str">
        <f aca="false">IF(NOT($P$94=$P$93*($P$93-1)/2),"ناقص",IF(P98&lt;=$P$3,"سازگار","ناسازگار"))</f>
        <v>سازگار</v>
      </c>
    </row>
    <row r="100" customFormat="false" ht="15" hidden="false" customHeight="false" outlineLevel="0" collapsed="false">
      <c r="O100" s="48" t="s">
        <v>233</v>
      </c>
      <c r="P100" s="30" t="n">
        <f aca="false">IF(COUNT(AA93:AA95)=0,"",MAX(AA93:AA95))</f>
        <v>1</v>
      </c>
    </row>
    <row r="101" customFormat="false" ht="15" hidden="false" customHeight="false" outlineLevel="0" collapsed="false">
      <c r="O101" s="48" t="s">
        <v>234</v>
      </c>
      <c r="P101" s="19" t="str">
        <f aca="false">IF(ISNUMBER(P100),INDEX(A93:A95,MATCH(P100,AA93:AA95,0))&amp;" و "&amp;INDEX(C92:E92,MATCH(P100,INDEX(R93:T95,MATCH(P100,AA93:AA95,0),0),0)),"")</f>
        <v>گ۲۲ و گ۲۳</v>
      </c>
    </row>
    <row r="103" customFormat="false" ht="15" hidden="false" customHeight="false" outlineLevel="0" collapsed="false">
      <c r="A103" s="45" t="s">
        <v>244</v>
      </c>
      <c r="B103" s="45"/>
      <c r="C103" s="45"/>
      <c r="D103" s="45"/>
      <c r="E103" s="45"/>
      <c r="F103" s="45"/>
      <c r="G103" s="45"/>
      <c r="H103" s="45"/>
      <c r="I103" s="45"/>
      <c r="J103" s="45"/>
      <c r="K103" s="45"/>
      <c r="L103" s="45"/>
      <c r="M103" s="45"/>
      <c r="Q103" s="46" t="s">
        <v>224</v>
      </c>
      <c r="R103" s="46"/>
      <c r="S103" s="46"/>
      <c r="T103" s="46"/>
      <c r="U103" s="46"/>
      <c r="V103" s="46"/>
      <c r="W103" s="46"/>
      <c r="X103" s="46"/>
      <c r="Y103" s="46"/>
      <c r="Z103" s="46"/>
      <c r="AA103" s="46"/>
    </row>
    <row r="104" customFormat="false" ht="27.75" hidden="false" customHeight="true" outlineLevel="0" collapsed="false">
      <c r="A104" s="8" t="s">
        <v>199</v>
      </c>
      <c r="B104" s="8" t="s">
        <v>225</v>
      </c>
      <c r="C104" s="8" t="s">
        <v>165</v>
      </c>
      <c r="D104" s="8" t="s">
        <v>167</v>
      </c>
      <c r="E104" s="8" t="s">
        <v>169</v>
      </c>
      <c r="L104" s="7" t="s">
        <v>226</v>
      </c>
      <c r="M104" s="8" t="s">
        <v>227</v>
      </c>
      <c r="Q104" s="8" t="s">
        <v>199</v>
      </c>
      <c r="R104" s="8" t="s">
        <v>165</v>
      </c>
      <c r="S104" s="8" t="s">
        <v>167</v>
      </c>
      <c r="T104" s="8" t="s">
        <v>169</v>
      </c>
      <c r="AA104" s="47" t="s">
        <v>228</v>
      </c>
    </row>
    <row r="105" customFormat="false" ht="27" hidden="false" customHeight="true" outlineLevel="0" collapsed="false">
      <c r="A105" s="19" t="s">
        <v>165</v>
      </c>
      <c r="B105" s="9" t="s">
        <v>166</v>
      </c>
      <c r="C105" s="31" t="n">
        <v>1</v>
      </c>
      <c r="D105" s="31" t="n">
        <f aca="false">نسبت!I75</f>
        <v>1</v>
      </c>
      <c r="E105" s="31" t="n">
        <f aca="false">نسبت!I76</f>
        <v>1</v>
      </c>
      <c r="L105" s="37" t="n">
        <f aca="false">IF($P$106=$P$105*($P$105-1)/2,GEOMEAN(C105:E105),"")</f>
        <v>1</v>
      </c>
      <c r="M105" s="36" t="n">
        <f aca="false">IF($P$106=$P$105*($P$105-1)/2,L105/SUM($L$105:$L$107),"")</f>
        <v>0.333333333333333</v>
      </c>
      <c r="O105" s="48" t="s">
        <v>229</v>
      </c>
      <c r="P105" s="11" t="n">
        <f aca="false">ROWS(A105:A107)</f>
        <v>3</v>
      </c>
      <c r="Q105" s="8" t="s">
        <v>165</v>
      </c>
      <c r="S105" s="30" t="n">
        <f aca="false">IF(AND(ISNUMBER(D105),ISNUMBER($M105),ISNUMBER($M106)),MAX(D105*$M106/$M105,$M105/(D105*$M106)),"")</f>
        <v>1</v>
      </c>
      <c r="T105" s="30" t="n">
        <f aca="false">IF(AND(ISNUMBER(E105),ISNUMBER($M105),ISNUMBER($M107)),MAX(E105*$M107/$M105,$M105/(E105*$M107)),"")</f>
        <v>1</v>
      </c>
      <c r="AA105" s="49" t="n">
        <f aca="false">IF(COUNT(R105:T105)=0,"",MAX(R105:T105))</f>
        <v>1</v>
      </c>
    </row>
    <row r="106" customFormat="false" ht="27" hidden="false" customHeight="true" outlineLevel="0" collapsed="false">
      <c r="A106" s="19" t="s">
        <v>167</v>
      </c>
      <c r="B106" s="9" t="s">
        <v>168</v>
      </c>
      <c r="C106" s="31" t="n">
        <f aca="false">IF(ISNUMBER(D105),1/D105,"")</f>
        <v>1</v>
      </c>
      <c r="D106" s="31" t="n">
        <v>1</v>
      </c>
      <c r="E106" s="31" t="n">
        <f aca="false">نسبت!I77</f>
        <v>1</v>
      </c>
      <c r="L106" s="37" t="n">
        <f aca="false">IF($P$106=$P$105*($P$105-1)/2,GEOMEAN(C106:E106),"")</f>
        <v>1</v>
      </c>
      <c r="M106" s="36" t="n">
        <f aca="false">IF($P$106=$P$105*($P$105-1)/2,L106/SUM($L$105:$L$107),"")</f>
        <v>0.333333333333333</v>
      </c>
      <c r="O106" s="48" t="s">
        <v>230</v>
      </c>
      <c r="P106" s="11" t="n">
        <f aca="false">(COUNT(C105:E107)-$P$105)/2</f>
        <v>3</v>
      </c>
      <c r="Q106" s="8" t="s">
        <v>167</v>
      </c>
      <c r="T106" s="30" t="n">
        <f aca="false">IF(AND(ISNUMBER(E106),ISNUMBER($M106),ISNUMBER($M107)),MAX(E106*$M107/$M106,$M106/(E106*$M107)),"")</f>
        <v>1</v>
      </c>
      <c r="AA106" s="49" t="n">
        <f aca="false">IF(COUNT(R106:T106)=0,"",MAX(R106:T106))</f>
        <v>1</v>
      </c>
    </row>
    <row r="107" customFormat="false" ht="27" hidden="false" customHeight="true" outlineLevel="0" collapsed="false">
      <c r="A107" s="19" t="s">
        <v>169</v>
      </c>
      <c r="B107" s="9" t="s">
        <v>170</v>
      </c>
      <c r="C107" s="31" t="n">
        <f aca="false">IF(ISNUMBER(E105),1/E105,"")</f>
        <v>1</v>
      </c>
      <c r="D107" s="31" t="n">
        <f aca="false">IF(ISNUMBER(E106),1/E106,"")</f>
        <v>1</v>
      </c>
      <c r="E107" s="31" t="n">
        <v>1</v>
      </c>
      <c r="L107" s="37" t="n">
        <f aca="false">IF($P$106=$P$105*($P$105-1)/2,GEOMEAN(C107:E107),"")</f>
        <v>1</v>
      </c>
      <c r="M107" s="36" t="n">
        <f aca="false">IF($P$106=$P$105*($P$105-1)/2,L107/SUM($L$105:$L$107),"")</f>
        <v>0.333333333333333</v>
      </c>
      <c r="O107" s="48" t="s">
        <v>231</v>
      </c>
      <c r="P107" s="37" t="n">
        <f aca="false">IF($P$106=$P$105*($P$105-1)/2,SUMPRODUCT(C108:E108,C109:E109),"")</f>
        <v>3</v>
      </c>
      <c r="Q107" s="8" t="s">
        <v>169</v>
      </c>
    </row>
    <row r="108" customFormat="false" ht="15" hidden="false" customHeight="false" outlineLevel="0" collapsed="false">
      <c r="A108" s="50"/>
      <c r="B108" s="51" t="s">
        <v>235</v>
      </c>
      <c r="C108" s="52" t="n">
        <f aca="false">IF($P$106=$P$105*($P$105-1)/2,SUM(C105:C107),"")</f>
        <v>3</v>
      </c>
      <c r="D108" s="52" t="n">
        <f aca="false">IF($P$106=$P$105*($P$105-1)/2,SUM(D105:D107),"")</f>
        <v>3</v>
      </c>
      <c r="E108" s="52" t="n">
        <f aca="false">IF($P$106=$P$105*($P$105-1)/2,SUM(E105:E107),"")</f>
        <v>3</v>
      </c>
      <c r="M108" s="53" t="n">
        <f aca="false">IF($P$106=$P$105*($P$105-1)/2,SUM(M105:M107),"")</f>
        <v>1</v>
      </c>
      <c r="O108" s="48" t="s">
        <v>48</v>
      </c>
      <c r="P108" s="37" t="n">
        <f aca="false">IF(ISNUMBER(P107),(P107-$P$105)/($P$105-1),"")</f>
        <v>0</v>
      </c>
    </row>
    <row r="109" customFormat="false" ht="15" hidden="false" customHeight="false" outlineLevel="0" collapsed="false">
      <c r="A109" s="50"/>
      <c r="B109" s="51" t="s">
        <v>236</v>
      </c>
      <c r="C109" s="53" t="n">
        <f aca="false">M105</f>
        <v>0.333333333333333</v>
      </c>
      <c r="D109" s="53" t="n">
        <f aca="false">M106</f>
        <v>0.333333333333333</v>
      </c>
      <c r="E109" s="53" t="n">
        <f aca="false">M107</f>
        <v>0.333333333333333</v>
      </c>
      <c r="O109" s="48" t="s">
        <v>232</v>
      </c>
      <c r="P109" s="30" t="n">
        <f aca="false">INDEX(راهنما!$C$29:$C$38,MATCH($P$105,راهنما!$B$29:$B$38,0))</f>
        <v>0.58</v>
      </c>
    </row>
    <row r="110" customFormat="false" ht="15" hidden="false" customHeight="false" outlineLevel="0" collapsed="false">
      <c r="O110" s="48" t="s">
        <v>50</v>
      </c>
      <c r="P110" s="41" t="n">
        <f aca="false">IF(ISNUMBER(P108),IF(P109=0,0,MAX(0,P108)/P109),"")</f>
        <v>0</v>
      </c>
    </row>
    <row r="111" customFormat="false" ht="15" hidden="false" customHeight="false" outlineLevel="0" collapsed="false">
      <c r="O111" s="48" t="s">
        <v>83</v>
      </c>
      <c r="P111" s="10" t="str">
        <f aca="false">IF(NOT($P$106=$P$105*($P$105-1)/2),"ناقص",IF(P110&lt;=$P$3,"سازگار","ناسازگار"))</f>
        <v>سازگار</v>
      </c>
    </row>
    <row r="112" customFormat="false" ht="15" hidden="false" customHeight="false" outlineLevel="0" collapsed="false">
      <c r="O112" s="48" t="s">
        <v>233</v>
      </c>
      <c r="P112" s="30" t="n">
        <f aca="false">IF(COUNT(AA105:AA107)=0,"",MAX(AA105:AA107))</f>
        <v>1</v>
      </c>
    </row>
    <row r="113" customFormat="false" ht="15" hidden="false" customHeight="false" outlineLevel="0" collapsed="false">
      <c r="O113" s="48" t="s">
        <v>234</v>
      </c>
      <c r="P113" s="19" t="str">
        <f aca="false">IF(ISNUMBER(P112),INDEX(A105:A107,MATCH(P112,AA105:AA107,0))&amp;" و "&amp;INDEX(C104:E104,MATCH(P112,INDEX(R105:T107,MATCH(P112,AA105:AA107,0),0),0)),"")</f>
        <v>گ۲۵ و گ۲۶</v>
      </c>
    </row>
    <row r="115" customFormat="false" ht="15" hidden="false" customHeight="false" outlineLevel="0" collapsed="false">
      <c r="A115" s="45" t="s">
        <v>245</v>
      </c>
      <c r="B115" s="45"/>
      <c r="C115" s="45"/>
      <c r="D115" s="45"/>
      <c r="E115" s="45"/>
      <c r="F115" s="45"/>
      <c r="G115" s="45"/>
      <c r="H115" s="45"/>
      <c r="I115" s="45"/>
      <c r="J115" s="45"/>
      <c r="K115" s="45"/>
      <c r="L115" s="45"/>
      <c r="M115" s="45"/>
      <c r="Q115" s="46" t="s">
        <v>224</v>
      </c>
      <c r="R115" s="46"/>
      <c r="S115" s="46"/>
      <c r="T115" s="46"/>
      <c r="U115" s="46"/>
      <c r="V115" s="46"/>
      <c r="W115" s="46"/>
      <c r="X115" s="46"/>
      <c r="Y115" s="46"/>
      <c r="Z115" s="46"/>
      <c r="AA115" s="46"/>
    </row>
    <row r="116" customFormat="false" ht="27.75" hidden="false" customHeight="true" outlineLevel="0" collapsed="false">
      <c r="A116" s="8" t="s">
        <v>199</v>
      </c>
      <c r="B116" s="8" t="s">
        <v>225</v>
      </c>
      <c r="C116" s="8" t="s">
        <v>171</v>
      </c>
      <c r="D116" s="8" t="s">
        <v>173</v>
      </c>
      <c r="L116" s="7" t="s">
        <v>226</v>
      </c>
      <c r="M116" s="8" t="s">
        <v>227</v>
      </c>
      <c r="Q116" s="8" t="s">
        <v>199</v>
      </c>
      <c r="R116" s="8" t="s">
        <v>171</v>
      </c>
      <c r="S116" s="8" t="s">
        <v>173</v>
      </c>
      <c r="AA116" s="47" t="s">
        <v>228</v>
      </c>
    </row>
    <row r="117" customFormat="false" ht="27" hidden="false" customHeight="true" outlineLevel="0" collapsed="false">
      <c r="A117" s="19" t="s">
        <v>171</v>
      </c>
      <c r="B117" s="9" t="s">
        <v>172</v>
      </c>
      <c r="C117" s="31" t="n">
        <v>1</v>
      </c>
      <c r="D117" s="31" t="n">
        <f aca="false">نسبت!I78</f>
        <v>2</v>
      </c>
      <c r="L117" s="37" t="n">
        <f aca="false">IF($P$118=$P$117*($P$117-1)/2,GEOMEAN(C117:D117),"")</f>
        <v>1.4142135623731</v>
      </c>
      <c r="M117" s="36" t="n">
        <f aca="false">IF($P$118=$P$117*($P$117-1)/2,L117/SUM($L$117:$L$118),"")</f>
        <v>0.666666666666667</v>
      </c>
      <c r="O117" s="48" t="s">
        <v>229</v>
      </c>
      <c r="P117" s="11" t="n">
        <f aca="false">ROWS(A117:A118)</f>
        <v>2</v>
      </c>
      <c r="Q117" s="8" t="s">
        <v>171</v>
      </c>
      <c r="S117" s="30" t="n">
        <f aca="false">IF(AND(ISNUMBER(D117),ISNUMBER($M117),ISNUMBER($M118)),MAX(D117*$M118/$M117,$M117/(D117*$M118)),"")</f>
        <v>1</v>
      </c>
      <c r="AA117" s="49" t="n">
        <f aca="false">IF(COUNT(R117:S117)=0,"",MAX(R117:S117))</f>
        <v>1</v>
      </c>
    </row>
    <row r="118" customFormat="false" ht="27" hidden="false" customHeight="true" outlineLevel="0" collapsed="false">
      <c r="A118" s="19" t="s">
        <v>173</v>
      </c>
      <c r="B118" s="9" t="s">
        <v>174</v>
      </c>
      <c r="C118" s="31" t="n">
        <f aca="false">IF(ISNUMBER(D117),1/D117,"")</f>
        <v>0.5</v>
      </c>
      <c r="D118" s="31" t="n">
        <v>1</v>
      </c>
      <c r="L118" s="37" t="n">
        <f aca="false">IF($P$118=$P$117*($P$117-1)/2,GEOMEAN(C118:D118),"")</f>
        <v>0.707106781186548</v>
      </c>
      <c r="M118" s="36" t="n">
        <f aca="false">IF($P$118=$P$117*($P$117-1)/2,L118/SUM($L$117:$L$118),"")</f>
        <v>0.333333333333333</v>
      </c>
      <c r="O118" s="48" t="s">
        <v>230</v>
      </c>
      <c r="P118" s="11" t="n">
        <f aca="false">(COUNT(C117:D118)-$P$117)/2</f>
        <v>1</v>
      </c>
      <c r="Q118" s="8" t="s">
        <v>173</v>
      </c>
    </row>
    <row r="119" customFormat="false" ht="15" hidden="false" customHeight="false" outlineLevel="0" collapsed="false">
      <c r="A119" s="50"/>
      <c r="B119" s="51" t="s">
        <v>235</v>
      </c>
      <c r="C119" s="52" t="n">
        <f aca="false">IF($P$118=$P$117*($P$117-1)/2,SUM(C117:C118),"")</f>
        <v>1.5</v>
      </c>
      <c r="D119" s="52" t="n">
        <f aca="false">IF($P$118=$P$117*($P$117-1)/2,SUM(D117:D118),"")</f>
        <v>3</v>
      </c>
      <c r="M119" s="53" t="n">
        <f aca="false">IF($P$118=$P$117*($P$117-1)/2,SUM(M117:M118),"")</f>
        <v>1</v>
      </c>
      <c r="O119" s="48" t="s">
        <v>231</v>
      </c>
      <c r="P119" s="37" t="n">
        <f aca="false">IF($P$118=$P$117*($P$117-1)/2,SUMPRODUCT(C119:D119,C120:D120),"")</f>
        <v>2</v>
      </c>
    </row>
    <row r="120" customFormat="false" ht="15" hidden="false" customHeight="false" outlineLevel="0" collapsed="false">
      <c r="A120" s="50"/>
      <c r="B120" s="51" t="s">
        <v>236</v>
      </c>
      <c r="C120" s="53" t="n">
        <f aca="false">M117</f>
        <v>0.666666666666667</v>
      </c>
      <c r="D120" s="53" t="n">
        <f aca="false">M118</f>
        <v>0.333333333333333</v>
      </c>
      <c r="O120" s="48" t="s">
        <v>48</v>
      </c>
      <c r="P120" s="37" t="n">
        <f aca="false">IF(ISNUMBER(P119),(P119-$P$117)/($P$117-1),"")</f>
        <v>0</v>
      </c>
    </row>
    <row r="121" customFormat="false" ht="15" hidden="false" customHeight="false" outlineLevel="0" collapsed="false">
      <c r="O121" s="48" t="s">
        <v>232</v>
      </c>
      <c r="P121" s="30" t="n">
        <f aca="false">INDEX(راهنما!$C$29:$C$38,MATCH($P$117,راهنما!$B$29:$B$38,0))</f>
        <v>0</v>
      </c>
    </row>
    <row r="122" customFormat="false" ht="15" hidden="false" customHeight="false" outlineLevel="0" collapsed="false">
      <c r="O122" s="48" t="s">
        <v>50</v>
      </c>
      <c r="P122" s="41" t="n">
        <f aca="false">IF(ISNUMBER(P120),IF(P121=0,0,MAX(0,P120)/P121),"")</f>
        <v>0</v>
      </c>
    </row>
    <row r="123" customFormat="false" ht="15" hidden="false" customHeight="false" outlineLevel="0" collapsed="false">
      <c r="O123" s="48" t="s">
        <v>83</v>
      </c>
      <c r="P123" s="10" t="str">
        <f aca="false">IF(NOT($P$118=$P$117*($P$117-1)/2),"ناقص",IF(P122&lt;=$P$3,"سازگار","ناسازگار"))</f>
        <v>سازگار</v>
      </c>
    </row>
    <row r="124" customFormat="false" ht="15" hidden="false" customHeight="false" outlineLevel="0" collapsed="false">
      <c r="O124" s="48" t="s">
        <v>233</v>
      </c>
      <c r="P124" s="30" t="n">
        <f aca="false">IF(COUNT(AA117:AA118)=0,"",MAX(AA117:AA118))</f>
        <v>1</v>
      </c>
    </row>
    <row r="125" customFormat="false" ht="15" hidden="false" customHeight="false" outlineLevel="0" collapsed="false">
      <c r="O125" s="48" t="s">
        <v>234</v>
      </c>
      <c r="P125" s="19" t="str">
        <f aca="false">IF(ISNUMBER(P124),INDEX(A117:A118,MATCH(P124,AA117:AA118,0))&amp;" و "&amp;INDEX(C116:D116,MATCH(P124,INDEX(R117:S118,MATCH(P124,AA117:AA118,0),0),0)),"")</f>
        <v>گ۲۸ و گ۲۹</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253</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2" t="s">
        <v>254</v>
      </c>
    </row>
    <row r="3" customFormat="false" ht="15" hidden="false" customHeight="false" outlineLevel="0" collapsed="false">
      <c r="A3" s="43" t="s">
        <v>248</v>
      </c>
      <c r="B3" s="54" t="n">
        <f aca="false">COUNT(ورودی!J9:J78)</f>
        <v>70</v>
      </c>
      <c r="O3" s="25" t="s">
        <v>177</v>
      </c>
      <c r="P3" s="30" t="n">
        <f aca="false">راهنما!$C$26</f>
        <v>0.1</v>
      </c>
    </row>
    <row r="5" customFormat="false" ht="15" hidden="false" customHeight="false" outlineLevel="0" collapsed="false">
      <c r="A5" s="45" t="s">
        <v>223</v>
      </c>
      <c r="B5" s="45"/>
      <c r="C5" s="45"/>
      <c r="D5" s="45"/>
      <c r="E5" s="45"/>
      <c r="F5" s="45"/>
      <c r="G5" s="45"/>
      <c r="H5" s="45"/>
      <c r="I5" s="45"/>
      <c r="J5" s="45"/>
      <c r="K5" s="45"/>
      <c r="L5" s="45"/>
      <c r="M5" s="45"/>
      <c r="Q5" s="46" t="s">
        <v>224</v>
      </c>
      <c r="R5" s="46"/>
      <c r="S5" s="46"/>
      <c r="T5" s="46"/>
      <c r="U5" s="46"/>
      <c r="V5" s="46"/>
      <c r="W5" s="46"/>
      <c r="X5" s="46"/>
      <c r="Y5" s="46"/>
      <c r="Z5" s="46"/>
      <c r="AA5" s="46"/>
    </row>
    <row r="6" customFormat="false" ht="27.75" hidden="false" customHeight="true" outlineLevel="0" collapsed="false">
      <c r="A6" s="8" t="s">
        <v>199</v>
      </c>
      <c r="B6" s="8" t="s">
        <v>225</v>
      </c>
      <c r="C6" s="8" t="s">
        <v>98</v>
      </c>
      <c r="D6" s="8" t="s">
        <v>100</v>
      </c>
      <c r="E6" s="8" t="s">
        <v>102</v>
      </c>
      <c r="F6" s="8" t="s">
        <v>104</v>
      </c>
      <c r="G6" s="8" t="s">
        <v>106</v>
      </c>
      <c r="H6" s="8" t="s">
        <v>108</v>
      </c>
      <c r="I6" s="8" t="s">
        <v>110</v>
      </c>
      <c r="J6" s="8" t="s">
        <v>112</v>
      </c>
      <c r="K6" s="8" t="s">
        <v>114</v>
      </c>
      <c r="L6" s="7" t="s">
        <v>226</v>
      </c>
      <c r="M6" s="8" t="s">
        <v>227</v>
      </c>
      <c r="Q6" s="8" t="s">
        <v>199</v>
      </c>
      <c r="R6" s="8" t="s">
        <v>98</v>
      </c>
      <c r="S6" s="8" t="s">
        <v>100</v>
      </c>
      <c r="T6" s="8" t="s">
        <v>102</v>
      </c>
      <c r="U6" s="8" t="s">
        <v>104</v>
      </c>
      <c r="V6" s="8" t="s">
        <v>106</v>
      </c>
      <c r="W6" s="8" t="s">
        <v>108</v>
      </c>
      <c r="X6" s="8" t="s">
        <v>110</v>
      </c>
      <c r="Y6" s="8" t="s">
        <v>112</v>
      </c>
      <c r="Z6" s="8" t="s">
        <v>114</v>
      </c>
      <c r="AA6" s="47" t="s">
        <v>228</v>
      </c>
    </row>
    <row r="7" customFormat="false" ht="27" hidden="false" customHeight="true" outlineLevel="0" collapsed="false">
      <c r="A7" s="19" t="s">
        <v>98</v>
      </c>
      <c r="B7" s="9" t="s">
        <v>99</v>
      </c>
      <c r="C7" s="31" t="n">
        <v>1</v>
      </c>
      <c r="D7" s="31" t="n">
        <f aca="false">نسبت!J9</f>
        <v>2</v>
      </c>
      <c r="E7" s="31" t="n">
        <f aca="false">نسبت!J10</f>
        <v>2</v>
      </c>
      <c r="F7" s="31" t="n">
        <f aca="false">نسبت!J11</f>
        <v>2</v>
      </c>
      <c r="G7" s="31" t="n">
        <f aca="false">نسبت!J12</f>
        <v>1</v>
      </c>
      <c r="H7" s="31" t="n">
        <f aca="false">نسبت!J13</f>
        <v>1</v>
      </c>
      <c r="I7" s="31" t="n">
        <f aca="false">نسبت!J14</f>
        <v>1</v>
      </c>
      <c r="J7" s="31" t="n">
        <f aca="false">نسبت!J15</f>
        <v>1</v>
      </c>
      <c r="K7" s="31" t="n">
        <f aca="false">نسبت!J16</f>
        <v>1</v>
      </c>
      <c r="L7" s="37" t="n">
        <f aca="false">IF($P$8=$P$7*($P$7-1)/2,GEOMEAN(C7:K7),"")</f>
        <v>1.25992104989487</v>
      </c>
      <c r="M7" s="36" t="n">
        <f aca="false">IF($P$8=$P$7*($P$7-1)/2,L7/SUM($L$7:$L$15),"")</f>
        <v>0.133283721097511</v>
      </c>
      <c r="O7" s="48" t="s">
        <v>229</v>
      </c>
      <c r="P7" s="11" t="n">
        <f aca="false">ROWS(A7:A15)</f>
        <v>9</v>
      </c>
      <c r="Q7" s="8" t="s">
        <v>98</v>
      </c>
      <c r="S7" s="30" t="n">
        <f aca="false">IF(AND(ISNUMBER(D7),ISNUMBER($M7),ISNUMBER($M8)),MAX(D7*$M8/$M7,$M7/(D7*$M8)),"")</f>
        <v>1.04608191864321</v>
      </c>
      <c r="T7" s="30" t="n">
        <f aca="false">IF(AND(ISNUMBER(E7),ISNUMBER($M7),ISNUMBER($M9)),MAX(E7*$M9/$M7,$M7/(E7*$M9)),"")</f>
        <v>1.08005973889231</v>
      </c>
      <c r="U7" s="30" t="n">
        <f aca="false">IF(AND(ISNUMBER(F7),ISNUMBER($M7),ISNUMBER($M10)),MAX(F7*$M10/$M7,$M7/(F7*$M10)),"")</f>
        <v>1.08005973889231</v>
      </c>
      <c r="V7" s="30" t="n">
        <f aca="false">IF(AND(ISNUMBER(G7),ISNUMBER($M7),ISNUMBER($M11)),MAX(G7*$M11/$M7,$M7/(G7*$M11)),"")</f>
        <v>1.36079000017438</v>
      </c>
      <c r="W7" s="30" t="n">
        <f aca="false">IF(AND(ISNUMBER(H7),ISNUMBER($M7),ISNUMBER($M12)),MAX(H7*$M12/$M7,$M7/(H7*$M12)),"")</f>
        <v>1</v>
      </c>
      <c r="X7" s="30" t="n">
        <f aca="false">IF(AND(ISNUMBER(I7),ISNUMBER($M7),ISNUMBER($M13)),MAX(I7*$M13/$M7,$M7/(I7*$M13)),"")</f>
        <v>1.12983096390975</v>
      </c>
      <c r="Y7" s="30" t="n">
        <f aca="false">IF(AND(ISNUMBER(J7),ISNUMBER($M7),ISNUMBER($M14)),MAX(J7*$M14/$M7,$M7/(J7*$M14)),"")</f>
        <v>1</v>
      </c>
      <c r="Z7" s="30" t="n">
        <f aca="false">IF(AND(ISNUMBER(K7),ISNUMBER($M7),ISNUMBER($M15)),MAX(K7*$M15/$M7,$M7/(K7*$M15)),"")</f>
        <v>1.08005973889231</v>
      </c>
      <c r="AA7" s="49" t="n">
        <f aca="false">IF(COUNT(R7:Z7)=0,"",MAX(R7:Z7))</f>
        <v>1.36079000017438</v>
      </c>
    </row>
    <row r="8" customFormat="false" ht="27" hidden="false" customHeight="true" outlineLevel="0" collapsed="false">
      <c r="A8" s="19" t="s">
        <v>100</v>
      </c>
      <c r="B8" s="9" t="s">
        <v>101</v>
      </c>
      <c r="C8" s="31" t="n">
        <f aca="false">IF(ISNUMBER(D7),1/D7,"")</f>
        <v>0.5</v>
      </c>
      <c r="D8" s="31" t="n">
        <v>1</v>
      </c>
      <c r="E8" s="31" t="n">
        <f aca="false">نسبت!J17</f>
        <v>1</v>
      </c>
      <c r="F8" s="31" t="n">
        <f aca="false">نسبت!J18</f>
        <v>1</v>
      </c>
      <c r="G8" s="31" t="n">
        <f aca="false">نسبت!J19</f>
        <v>0.5</v>
      </c>
      <c r="H8" s="31" t="n">
        <f aca="false">نسبت!J20</f>
        <v>0.5</v>
      </c>
      <c r="I8" s="31" t="n">
        <f aca="false">نسبت!J21</f>
        <v>0.333333333333333</v>
      </c>
      <c r="J8" s="31" t="n">
        <f aca="false">نسبت!J22</f>
        <v>0.5</v>
      </c>
      <c r="K8" s="31" t="n">
        <f aca="false">نسبت!J23</f>
        <v>0.5</v>
      </c>
      <c r="L8" s="37" t="n">
        <f aca="false">IF($P$8=$P$7*($P$7-1)/2,GEOMEAN(C8:K8),"")</f>
        <v>0.602209553305831</v>
      </c>
      <c r="M8" s="36" t="n">
        <f aca="false">IF($P$8=$P$7*($P$7-1)/2,L8/SUM($L$7:$L$15),"")</f>
        <v>0.0637061585341148</v>
      </c>
      <c r="O8" s="48" t="s">
        <v>230</v>
      </c>
      <c r="P8" s="11" t="n">
        <f aca="false">(COUNT(C7:K15)-$P$7)/2</f>
        <v>36</v>
      </c>
      <c r="Q8" s="8" t="s">
        <v>100</v>
      </c>
      <c r="T8" s="30" t="n">
        <f aca="false">IF(AND(ISNUMBER(E8),ISNUMBER($M8),ISNUMBER($M9)),MAX(E8*$M9/$M8,$M8/(E8*$M9)),"")</f>
        <v>1.12983096390975</v>
      </c>
      <c r="U8" s="30" t="n">
        <f aca="false">IF(AND(ISNUMBER(F8),ISNUMBER($M8),ISNUMBER($M10)),MAX(F8*$M10/$M8,$M8/(F8*$M10)),"")</f>
        <v>1.12983096390975</v>
      </c>
      <c r="V8" s="30" t="n">
        <f aca="false">IF(AND(ISNUMBER(G8),ISNUMBER($M8),ISNUMBER($M11)),MAX(G8*$M11/$M8,$M8/(G8*$M11)),"")</f>
        <v>1.3008445858039</v>
      </c>
      <c r="W8" s="30" t="n">
        <f aca="false">IF(AND(ISNUMBER(H8),ISNUMBER($M8),ISNUMBER($M12)),MAX(H8*$M12/$M8,$M8/(H8*$M12)),"")</f>
        <v>1.04608191864321</v>
      </c>
      <c r="X8" s="30" t="n">
        <f aca="false">IF(AND(ISNUMBER(I8),ISNUMBER($M8),ISNUMBER($M13)),MAX(I8*$M13/$M8,$M8/(I8*$M13)),"")</f>
        <v>1.26914747731148</v>
      </c>
      <c r="Y8" s="30" t="n">
        <f aca="false">IF(AND(ISNUMBER(J8),ISNUMBER($M8),ISNUMBER($M14)),MAX(J8*$M14/$M8,$M8/(J8*$M14)),"")</f>
        <v>1.04608191864321</v>
      </c>
      <c r="Z8" s="30" t="n">
        <f aca="false">IF(AND(ISNUMBER(K8),ISNUMBER($M8),ISNUMBER($M15)),MAX(K8*$M15/$M8,$M8/(K8*$M15)),"")</f>
        <v>1.12983096390975</v>
      </c>
      <c r="AA8" s="49" t="n">
        <f aca="false">IF(COUNT(R8:Z8)=0,"",MAX(R8:Z8))</f>
        <v>1.3008445858039</v>
      </c>
    </row>
    <row r="9" customFormat="false" ht="27" hidden="false" customHeight="true" outlineLevel="0" collapsed="false">
      <c r="A9" s="19" t="s">
        <v>102</v>
      </c>
      <c r="B9" s="9" t="s">
        <v>103</v>
      </c>
      <c r="C9" s="31" t="n">
        <f aca="false">IF(ISNUMBER(E7),1/E7,"")</f>
        <v>0.5</v>
      </c>
      <c r="D9" s="31" t="n">
        <f aca="false">IF(ISNUMBER(E8),1/E8,"")</f>
        <v>1</v>
      </c>
      <c r="E9" s="31" t="n">
        <v>1</v>
      </c>
      <c r="F9" s="31" t="n">
        <f aca="false">نسبت!J24</f>
        <v>1</v>
      </c>
      <c r="G9" s="31" t="n">
        <f aca="false">نسبت!J25</f>
        <v>1</v>
      </c>
      <c r="H9" s="31" t="n">
        <f aca="false">نسبت!J26</f>
        <v>0.5</v>
      </c>
      <c r="I9" s="31" t="n">
        <f aca="false">نسبت!J27</f>
        <v>0.5</v>
      </c>
      <c r="J9" s="31" t="n">
        <f aca="false">نسبت!J28</f>
        <v>0.5</v>
      </c>
      <c r="K9" s="31" t="n">
        <f aca="false">نسبت!J29</f>
        <v>0.5</v>
      </c>
      <c r="L9" s="37" t="n">
        <f aca="false">IF($P$8=$P$7*($P$7-1)/2,GEOMEAN(C9:K9),"")</f>
        <v>0.680395000087189</v>
      </c>
      <c r="M9" s="36" t="n">
        <f aca="false">IF($P$8=$P$7*($P$7-1)/2,L9/SUM($L$7:$L$15),"")</f>
        <v>0.0719771905035864</v>
      </c>
      <c r="O9" s="48" t="s">
        <v>231</v>
      </c>
      <c r="P9" s="37" t="n">
        <f aca="false">IF($P$8=$P$7*($P$7-1)/2,SUMPRODUCT(C16:K16,C17:K17),"")</f>
        <v>9.09867410676274</v>
      </c>
      <c r="Q9" s="8" t="s">
        <v>102</v>
      </c>
      <c r="U9" s="30" t="n">
        <f aca="false">IF(AND(ISNUMBER(F9),ISNUMBER($M9),ISNUMBER($M10)),MAX(F9*$M10/$M9,$M9/(F9*$M10)),"")</f>
        <v>1</v>
      </c>
      <c r="V9" s="30" t="n">
        <f aca="false">IF(AND(ISNUMBER(G9),ISNUMBER($M9),ISNUMBER($M11)),MAX(G9*$M11/$M9,$M9/(G9*$M11)),"")</f>
        <v>1.36079000017438</v>
      </c>
      <c r="W9" s="30" t="n">
        <f aca="false">IF(AND(ISNUMBER(H9),ISNUMBER($M9),ISNUMBER($M12)),MAX(H9*$M12/$M9,$M9/(H9*$M12)),"")</f>
        <v>1.08005973889231</v>
      </c>
      <c r="X9" s="30" t="n">
        <f aca="false">IF(AND(ISNUMBER(I9),ISNUMBER($M9),ISNUMBER($M13)),MAX(I9*$M13/$M9,$M9/(I9*$M13)),"")</f>
        <v>1.04608191864321</v>
      </c>
      <c r="Y9" s="30" t="n">
        <f aca="false">IF(AND(ISNUMBER(J9),ISNUMBER($M9),ISNUMBER($M14)),MAX(J9*$M14/$M9,$M9/(J9*$M14)),"")</f>
        <v>1.08005973889231</v>
      </c>
      <c r="Z9" s="30" t="n">
        <f aca="false">IF(AND(ISNUMBER(K9),ISNUMBER($M9),ISNUMBER($M15)),MAX(K9*$M15/$M9,$M9/(K9*$M15)),"")</f>
        <v>1</v>
      </c>
      <c r="AA9" s="49" t="n">
        <f aca="false">IF(COUNT(R9:Z9)=0,"",MAX(R9:Z9))</f>
        <v>1.36079000017438</v>
      </c>
    </row>
    <row r="10" customFormat="false" ht="27" hidden="false" customHeight="true" outlineLevel="0" collapsed="false">
      <c r="A10" s="19" t="s">
        <v>104</v>
      </c>
      <c r="B10" s="9" t="s">
        <v>105</v>
      </c>
      <c r="C10" s="31" t="n">
        <f aca="false">IF(ISNUMBER(F7),1/F7,"")</f>
        <v>0.5</v>
      </c>
      <c r="D10" s="31" t="n">
        <f aca="false">IF(ISNUMBER(F8),1/F8,"")</f>
        <v>1</v>
      </c>
      <c r="E10" s="31" t="n">
        <f aca="false">IF(ISNUMBER(F9),1/F9,"")</f>
        <v>1</v>
      </c>
      <c r="F10" s="31" t="n">
        <v>1</v>
      </c>
      <c r="G10" s="31" t="n">
        <f aca="false">نسبت!J30</f>
        <v>1</v>
      </c>
      <c r="H10" s="31" t="n">
        <f aca="false">نسبت!J31</f>
        <v>0.5</v>
      </c>
      <c r="I10" s="31" t="n">
        <f aca="false">نسبت!J32</f>
        <v>0.5</v>
      </c>
      <c r="J10" s="31" t="n">
        <f aca="false">نسبت!J33</f>
        <v>0.5</v>
      </c>
      <c r="K10" s="31" t="n">
        <f aca="false">نسبت!J34</f>
        <v>0.5</v>
      </c>
      <c r="L10" s="37" t="n">
        <f aca="false">IF($P$8=$P$7*($P$7-1)/2,GEOMEAN(C10:K10),"")</f>
        <v>0.680395000087189</v>
      </c>
      <c r="M10" s="36" t="n">
        <f aca="false">IF($P$8=$P$7*($P$7-1)/2,L10/SUM($L$7:$L$15),"")</f>
        <v>0.0719771905035864</v>
      </c>
      <c r="O10" s="48" t="s">
        <v>48</v>
      </c>
      <c r="P10" s="37" t="n">
        <f aca="false">IF(ISNUMBER(P9),(P9-$P$7)/($P$7-1),"")</f>
        <v>0.0123342633453423</v>
      </c>
      <c r="Q10" s="8" t="s">
        <v>104</v>
      </c>
      <c r="V10" s="30" t="n">
        <f aca="false">IF(AND(ISNUMBER(G10),ISNUMBER($M10),ISNUMBER($M11)),MAX(G10*$M11/$M10,$M10/(G10*$M11)),"")</f>
        <v>1.36079000017438</v>
      </c>
      <c r="W10" s="30" t="n">
        <f aca="false">IF(AND(ISNUMBER(H10),ISNUMBER($M10),ISNUMBER($M12)),MAX(H10*$M12/$M10,$M10/(H10*$M12)),"")</f>
        <v>1.08005973889231</v>
      </c>
      <c r="X10" s="30" t="n">
        <f aca="false">IF(AND(ISNUMBER(I10),ISNUMBER($M10),ISNUMBER($M13)),MAX(I10*$M13/$M10,$M10/(I10*$M13)),"")</f>
        <v>1.04608191864321</v>
      </c>
      <c r="Y10" s="30" t="n">
        <f aca="false">IF(AND(ISNUMBER(J10),ISNUMBER($M10),ISNUMBER($M14)),MAX(J10*$M14/$M10,$M10/(J10*$M14)),"")</f>
        <v>1.08005973889231</v>
      </c>
      <c r="Z10" s="30" t="n">
        <f aca="false">IF(AND(ISNUMBER(K10),ISNUMBER($M10),ISNUMBER($M15)),MAX(K10*$M15/$M10,$M10/(K10*$M15)),"")</f>
        <v>1</v>
      </c>
      <c r="AA10" s="49" t="n">
        <f aca="false">IF(COUNT(R10:Z10)=0,"",MAX(R10:Z10))</f>
        <v>1.36079000017438</v>
      </c>
    </row>
    <row r="11" customFormat="false" ht="27" hidden="false" customHeight="true" outlineLevel="0" collapsed="false">
      <c r="A11" s="19" t="s">
        <v>106</v>
      </c>
      <c r="B11" s="9" t="s">
        <v>107</v>
      </c>
      <c r="C11" s="31" t="n">
        <f aca="false">IF(ISNUMBER(G7),1/G7,"")</f>
        <v>1</v>
      </c>
      <c r="D11" s="31" t="n">
        <f aca="false">IF(ISNUMBER(G8),1/G8,"")</f>
        <v>2</v>
      </c>
      <c r="E11" s="31" t="n">
        <f aca="false">IF(ISNUMBER(G9),1/G9,"")</f>
        <v>1</v>
      </c>
      <c r="F11" s="31" t="n">
        <f aca="false">IF(ISNUMBER(G10),1/G10,"")</f>
        <v>1</v>
      </c>
      <c r="G11" s="31" t="n">
        <v>1</v>
      </c>
      <c r="H11" s="31" t="n">
        <f aca="false">نسبت!J35</f>
        <v>1</v>
      </c>
      <c r="I11" s="31" t="n">
        <f aca="false">نسبت!J36</f>
        <v>0.5</v>
      </c>
      <c r="J11" s="31" t="n">
        <f aca="false">نسبت!J37</f>
        <v>1</v>
      </c>
      <c r="K11" s="31" t="n">
        <f aca="false">نسبت!J38</f>
        <v>0.5</v>
      </c>
      <c r="L11" s="37" t="n">
        <f aca="false">IF($P$8=$P$7*($P$7-1)/2,GEOMEAN(C11:K11),"")</f>
        <v>0.925874712287291</v>
      </c>
      <c r="M11" s="36" t="n">
        <f aca="false">IF($P$8=$P$7*($P$7-1)/2,L11/SUM($L$7:$L$15),"")</f>
        <v>0.0979458410779265</v>
      </c>
      <c r="O11" s="48" t="s">
        <v>232</v>
      </c>
      <c r="P11" s="30" t="n">
        <f aca="false">INDEX(راهنما!$C$29:$C$38,MATCH($P$7,راهنما!$B$29:$B$38,0))</f>
        <v>1.45</v>
      </c>
      <c r="Q11" s="8" t="s">
        <v>106</v>
      </c>
      <c r="W11" s="30" t="n">
        <f aca="false">IF(AND(ISNUMBER(H11),ISNUMBER($M11),ISNUMBER($M12)),MAX(H11*$M12/$M11,$M11/(H11*$M12)),"")</f>
        <v>1.36079000017438</v>
      </c>
      <c r="X11" s="30" t="n">
        <f aca="false">IF(AND(ISNUMBER(I11),ISNUMBER($M11),ISNUMBER($M13)),MAX(I11*$M13/$M11,$M11/(I11*$M13)),"")</f>
        <v>1.3008445858039</v>
      </c>
      <c r="Y11" s="30" t="n">
        <f aca="false">IF(AND(ISNUMBER(J11),ISNUMBER($M11),ISNUMBER($M14)),MAX(J11*$M14/$M11,$M11/(J11*$M14)),"")</f>
        <v>1.36079000017438</v>
      </c>
      <c r="Z11" s="30" t="n">
        <f aca="false">IF(AND(ISNUMBER(K11),ISNUMBER($M11),ISNUMBER($M15)),MAX(K11*$M15/$M11,$M11/(K11*$M15)),"")</f>
        <v>1.36079000017438</v>
      </c>
      <c r="AA11" s="49" t="n">
        <f aca="false">IF(COUNT(R11:Z11)=0,"",MAX(R11:Z11))</f>
        <v>1.36079000017438</v>
      </c>
    </row>
    <row r="12" customFormat="false" ht="27" hidden="false" customHeight="true" outlineLevel="0" collapsed="false">
      <c r="A12" s="19" t="s">
        <v>108</v>
      </c>
      <c r="B12" s="9" t="s">
        <v>109</v>
      </c>
      <c r="C12" s="31" t="n">
        <f aca="false">IF(ISNUMBER(H7),1/H7,"")</f>
        <v>1</v>
      </c>
      <c r="D12" s="31" t="n">
        <f aca="false">IF(ISNUMBER(H8),1/H8,"")</f>
        <v>2</v>
      </c>
      <c r="E12" s="31" t="n">
        <f aca="false">IF(ISNUMBER(H9),1/H9,"")</f>
        <v>2</v>
      </c>
      <c r="F12" s="31" t="n">
        <f aca="false">IF(ISNUMBER(H10),1/H10,"")</f>
        <v>2</v>
      </c>
      <c r="G12" s="31" t="n">
        <f aca="false">IF(ISNUMBER(H11),1/H11,"")</f>
        <v>1</v>
      </c>
      <c r="H12" s="31" t="n">
        <v>1</v>
      </c>
      <c r="I12" s="31" t="n">
        <f aca="false">نسبت!J39</f>
        <v>1</v>
      </c>
      <c r="J12" s="31" t="n">
        <f aca="false">نسبت!J40</f>
        <v>1</v>
      </c>
      <c r="K12" s="31" t="n">
        <f aca="false">نسبت!J41</f>
        <v>1</v>
      </c>
      <c r="L12" s="37" t="n">
        <f aca="false">IF($P$8=$P$7*($P$7-1)/2,GEOMEAN(C12:K12),"")</f>
        <v>1.25992104989487</v>
      </c>
      <c r="M12" s="36" t="n">
        <f aca="false">IF($P$8=$P$7*($P$7-1)/2,L12/SUM($L$7:$L$15),"")</f>
        <v>0.133283721097511</v>
      </c>
      <c r="O12" s="48" t="s">
        <v>50</v>
      </c>
      <c r="P12" s="41" t="n">
        <f aca="false">IF(ISNUMBER(P10),IF(P11=0,0,MAX(0,P10)/P11),"")</f>
        <v>0.00850638851402915</v>
      </c>
      <c r="Q12" s="8" t="s">
        <v>108</v>
      </c>
      <c r="X12" s="30" t="n">
        <f aca="false">IF(AND(ISNUMBER(I12),ISNUMBER($M12),ISNUMBER($M13)),MAX(I12*$M13/$M12,$M12/(I12*$M13)),"")</f>
        <v>1.12983096390975</v>
      </c>
      <c r="Y12" s="30" t="n">
        <f aca="false">IF(AND(ISNUMBER(J12),ISNUMBER($M12),ISNUMBER($M14)),MAX(J12*$M14/$M12,$M12/(J12*$M14)),"")</f>
        <v>1</v>
      </c>
      <c r="Z12" s="30" t="n">
        <f aca="false">IF(AND(ISNUMBER(K12),ISNUMBER($M12),ISNUMBER($M15)),MAX(K12*$M15/$M12,$M12/(K12*$M15)),"")</f>
        <v>1.08005973889231</v>
      </c>
      <c r="AA12" s="49" t="n">
        <f aca="false">IF(COUNT(R12:Z12)=0,"",MAX(R12:Z12))</f>
        <v>1.12983096390975</v>
      </c>
    </row>
    <row r="13" customFormat="false" ht="27" hidden="false" customHeight="true" outlineLevel="0" collapsed="false">
      <c r="A13" s="19" t="s">
        <v>110</v>
      </c>
      <c r="B13" s="9" t="s">
        <v>111</v>
      </c>
      <c r="C13" s="31" t="n">
        <f aca="false">IF(ISNUMBER(I7),1/I7,"")</f>
        <v>1</v>
      </c>
      <c r="D13" s="31" t="n">
        <f aca="false">IF(ISNUMBER(I8),1/I8,"")</f>
        <v>3</v>
      </c>
      <c r="E13" s="31" t="n">
        <f aca="false">IF(ISNUMBER(I9),1/I9,"")</f>
        <v>2</v>
      </c>
      <c r="F13" s="31" t="n">
        <f aca="false">IF(ISNUMBER(I10),1/I10,"")</f>
        <v>2</v>
      </c>
      <c r="G13" s="31" t="n">
        <f aca="false">IF(ISNUMBER(I11),1/I11,"")</f>
        <v>2</v>
      </c>
      <c r="H13" s="31" t="n">
        <f aca="false">IF(ISNUMBER(I12),1/I12,"")</f>
        <v>1</v>
      </c>
      <c r="I13" s="31" t="n">
        <v>1</v>
      </c>
      <c r="J13" s="31" t="n">
        <f aca="false">نسبت!J42</f>
        <v>1</v>
      </c>
      <c r="K13" s="31" t="n">
        <f aca="false">نسبت!J43</f>
        <v>1</v>
      </c>
      <c r="L13" s="37" t="n">
        <f aca="false">IF($P$8=$P$7*($P$7-1)/2,GEOMEAN(C13:K13),"")</f>
        <v>1.42349781425291</v>
      </c>
      <c r="M13" s="36" t="n">
        <f aca="false">IF($P$8=$P$7*($P$7-1)/2,L13/SUM($L$7:$L$15),"")</f>
        <v>0.15058807508108</v>
      </c>
      <c r="O13" s="48" t="s">
        <v>83</v>
      </c>
      <c r="P13" s="10" t="str">
        <f aca="false">IF(NOT($P$8=$P$7*($P$7-1)/2),"ناقص",IF(P12&lt;=$P$3,"سازگار","ناسازگار"))</f>
        <v>سازگار</v>
      </c>
      <c r="Q13" s="8" t="s">
        <v>110</v>
      </c>
      <c r="Y13" s="30" t="n">
        <f aca="false">IF(AND(ISNUMBER(J13),ISNUMBER($M13),ISNUMBER($M14)),MAX(J13*$M14/$M13,$M13/(J13*$M14)),"")</f>
        <v>1.12983096390975</v>
      </c>
      <c r="Z13" s="30" t="n">
        <f aca="false">IF(AND(ISNUMBER(K13),ISNUMBER($M13),ISNUMBER($M15)),MAX(K13*$M15/$M13,$M13/(K13*$M15)),"")</f>
        <v>1.04608191864321</v>
      </c>
      <c r="AA13" s="49" t="n">
        <f aca="false">IF(COUNT(R13:Z13)=0,"",MAX(R13:Z13))</f>
        <v>1.12983096390975</v>
      </c>
    </row>
    <row r="14" customFormat="false" ht="27" hidden="false" customHeight="true" outlineLevel="0" collapsed="false">
      <c r="A14" s="19" t="s">
        <v>112</v>
      </c>
      <c r="B14" s="9" t="s">
        <v>113</v>
      </c>
      <c r="C14" s="31" t="n">
        <f aca="false">IF(ISNUMBER(J7),1/J7,"")</f>
        <v>1</v>
      </c>
      <c r="D14" s="31" t="n">
        <f aca="false">IF(ISNUMBER(J8),1/J8,"")</f>
        <v>2</v>
      </c>
      <c r="E14" s="31" t="n">
        <f aca="false">IF(ISNUMBER(J9),1/J9,"")</f>
        <v>2</v>
      </c>
      <c r="F14" s="31" t="n">
        <f aca="false">IF(ISNUMBER(J10),1/J10,"")</f>
        <v>2</v>
      </c>
      <c r="G14" s="31" t="n">
        <f aca="false">IF(ISNUMBER(J11),1/J11,"")</f>
        <v>1</v>
      </c>
      <c r="H14" s="31" t="n">
        <f aca="false">IF(ISNUMBER(J12),1/J12,"")</f>
        <v>1</v>
      </c>
      <c r="I14" s="31" t="n">
        <f aca="false">IF(ISNUMBER(J13),1/J13,"")</f>
        <v>1</v>
      </c>
      <c r="J14" s="31" t="n">
        <v>1</v>
      </c>
      <c r="K14" s="31" t="n">
        <f aca="false">نسبت!J44</f>
        <v>1</v>
      </c>
      <c r="L14" s="37" t="n">
        <f aca="false">IF($P$8=$P$7*($P$7-1)/2,GEOMEAN(C14:K14),"")</f>
        <v>1.25992104989487</v>
      </c>
      <c r="M14" s="36" t="n">
        <f aca="false">IF($P$8=$P$7*($P$7-1)/2,L14/SUM($L$7:$L$15),"")</f>
        <v>0.133283721097511</v>
      </c>
      <c r="O14" s="48" t="s">
        <v>233</v>
      </c>
      <c r="P14" s="30" t="n">
        <f aca="false">IF(COUNT(AA7:AA15)=0,"",MAX(AA7:AA15))</f>
        <v>1.36079000017438</v>
      </c>
      <c r="Q14" s="8" t="s">
        <v>112</v>
      </c>
      <c r="Z14" s="30" t="n">
        <f aca="false">IF(AND(ISNUMBER(K14),ISNUMBER($M14),ISNUMBER($M15)),MAX(K14*$M15/$M14,$M14/(K14*$M15)),"")</f>
        <v>1.08005973889231</v>
      </c>
      <c r="AA14" s="49" t="n">
        <f aca="false">IF(COUNT(R14:Z14)=0,"",MAX(R14:Z14))</f>
        <v>1.08005973889231</v>
      </c>
    </row>
    <row r="15" customFormat="false" ht="27" hidden="false" customHeight="true" outlineLevel="0" collapsed="false">
      <c r="A15" s="19" t="s">
        <v>114</v>
      </c>
      <c r="B15" s="9" t="s">
        <v>115</v>
      </c>
      <c r="C15" s="31" t="n">
        <f aca="false">IF(ISNUMBER(K7),1/K7,"")</f>
        <v>1</v>
      </c>
      <c r="D15" s="31" t="n">
        <f aca="false">IF(ISNUMBER(K8),1/K8,"")</f>
        <v>2</v>
      </c>
      <c r="E15" s="31" t="n">
        <f aca="false">IF(ISNUMBER(K9),1/K9,"")</f>
        <v>2</v>
      </c>
      <c r="F15" s="31" t="n">
        <f aca="false">IF(ISNUMBER(K10),1/K10,"")</f>
        <v>2</v>
      </c>
      <c r="G15" s="31" t="n">
        <f aca="false">IF(ISNUMBER(K11),1/K11,"")</f>
        <v>2</v>
      </c>
      <c r="H15" s="31" t="n">
        <f aca="false">IF(ISNUMBER(K12),1/K12,"")</f>
        <v>1</v>
      </c>
      <c r="I15" s="31" t="n">
        <f aca="false">IF(ISNUMBER(K13),1/K13,"")</f>
        <v>1</v>
      </c>
      <c r="J15" s="31" t="n">
        <f aca="false">IF(ISNUMBER(K14),1/K14,"")</f>
        <v>1</v>
      </c>
      <c r="K15" s="31" t="n">
        <v>1</v>
      </c>
      <c r="L15" s="37" t="n">
        <f aca="false">IF($P$8=$P$7*($P$7-1)/2,GEOMEAN(C15:K15),"")</f>
        <v>1.36079000017438</v>
      </c>
      <c r="M15" s="36" t="n">
        <f aca="false">IF($P$8=$P$7*($P$7-1)/2,L15/SUM($L$7:$L$15),"")</f>
        <v>0.143954381007173</v>
      </c>
      <c r="O15" s="48" t="s">
        <v>234</v>
      </c>
      <c r="P15" s="19" t="str">
        <f aca="false">IF(ISNUMBER(P14),INDEX(A7:A15,MATCH(P14,AA7:AA15,0))&amp;" و "&amp;INDEX(C6:K6,MATCH(P14,INDEX(R7:Z15,MATCH(P14,AA7:AA15,0),0),0)),"")</f>
        <v>م۱ و م۵</v>
      </c>
      <c r="Q15" s="8" t="s">
        <v>114</v>
      </c>
    </row>
    <row r="16" customFormat="false" ht="15" hidden="false" customHeight="false" outlineLevel="0" collapsed="false">
      <c r="A16" s="50"/>
      <c r="B16" s="51" t="s">
        <v>235</v>
      </c>
      <c r="C16" s="52" t="n">
        <f aca="false">IF($P$8=$P$7*($P$7-1)/2,SUM(C7:C15),"")</f>
        <v>7.5</v>
      </c>
      <c r="D16" s="52" t="n">
        <f aca="false">IF($P$8=$P$7*($P$7-1)/2,SUM(D7:D15),"")</f>
        <v>16</v>
      </c>
      <c r="E16" s="52" t="n">
        <f aca="false">IF($P$8=$P$7*($P$7-1)/2,SUM(E7:E15),"")</f>
        <v>14</v>
      </c>
      <c r="F16" s="52" t="n">
        <f aca="false">IF($P$8=$P$7*($P$7-1)/2,SUM(F7:F15),"")</f>
        <v>14</v>
      </c>
      <c r="G16" s="52" t="n">
        <f aca="false">IF($P$8=$P$7*($P$7-1)/2,SUM(G7:G15),"")</f>
        <v>10.5</v>
      </c>
      <c r="H16" s="52" t="n">
        <f aca="false">IF($P$8=$P$7*($P$7-1)/2,SUM(H7:H15),"")</f>
        <v>7.5</v>
      </c>
      <c r="I16" s="52" t="n">
        <f aca="false">IF($P$8=$P$7*($P$7-1)/2,SUM(I7:I15),"")</f>
        <v>6.83333333333333</v>
      </c>
      <c r="J16" s="52" t="n">
        <f aca="false">IF($P$8=$P$7*($P$7-1)/2,SUM(J7:J15),"")</f>
        <v>7.5</v>
      </c>
      <c r="K16" s="52" t="n">
        <f aca="false">IF($P$8=$P$7*($P$7-1)/2,SUM(K7:K15),"")</f>
        <v>7</v>
      </c>
      <c r="M16" s="53" t="n">
        <f aca="false">IF($P$8=$P$7*($P$7-1)/2,SUM(M7:M15),"")</f>
        <v>1</v>
      </c>
    </row>
    <row r="17" customFormat="false" ht="15" hidden="false" customHeight="false" outlineLevel="0" collapsed="false">
      <c r="A17" s="50"/>
      <c r="B17" s="51" t="s">
        <v>236</v>
      </c>
      <c r="C17" s="53" t="n">
        <f aca="false">M7</f>
        <v>0.133283721097511</v>
      </c>
      <c r="D17" s="53" t="n">
        <f aca="false">M8</f>
        <v>0.0637061585341148</v>
      </c>
      <c r="E17" s="53" t="n">
        <f aca="false">M9</f>
        <v>0.0719771905035864</v>
      </c>
      <c r="F17" s="53" t="n">
        <f aca="false">M10</f>
        <v>0.0719771905035864</v>
      </c>
      <c r="G17" s="53" t="n">
        <f aca="false">M11</f>
        <v>0.0979458410779265</v>
      </c>
      <c r="H17" s="53" t="n">
        <f aca="false">M12</f>
        <v>0.133283721097511</v>
      </c>
      <c r="I17" s="53" t="n">
        <f aca="false">M13</f>
        <v>0.15058807508108</v>
      </c>
      <c r="J17" s="53" t="n">
        <f aca="false">M14</f>
        <v>0.133283721097511</v>
      </c>
      <c r="K17" s="53" t="n">
        <f aca="false">M15</f>
        <v>0.143954381007173</v>
      </c>
    </row>
    <row r="19" customFormat="false" ht="15" hidden="false" customHeight="false" outlineLevel="0" collapsed="false">
      <c r="A19" s="45" t="s">
        <v>237</v>
      </c>
      <c r="B19" s="45"/>
      <c r="C19" s="45"/>
      <c r="D19" s="45"/>
      <c r="E19" s="45"/>
      <c r="F19" s="45"/>
      <c r="G19" s="45"/>
      <c r="H19" s="45"/>
      <c r="I19" s="45"/>
      <c r="J19" s="45"/>
      <c r="K19" s="45"/>
      <c r="L19" s="45"/>
      <c r="M19" s="45"/>
      <c r="Q19" s="46" t="s">
        <v>224</v>
      </c>
      <c r="R19" s="46"/>
      <c r="S19" s="46"/>
      <c r="T19" s="46"/>
      <c r="U19" s="46"/>
      <c r="V19" s="46"/>
      <c r="W19" s="46"/>
      <c r="X19" s="46"/>
      <c r="Y19" s="46"/>
      <c r="Z19" s="46"/>
      <c r="AA19" s="46"/>
    </row>
    <row r="20" customFormat="false" ht="27.75" hidden="false" customHeight="true" outlineLevel="0" collapsed="false">
      <c r="A20" s="8" t="s">
        <v>199</v>
      </c>
      <c r="B20" s="8" t="s">
        <v>225</v>
      </c>
      <c r="C20" s="8" t="s">
        <v>117</v>
      </c>
      <c r="D20" s="8" t="s">
        <v>119</v>
      </c>
      <c r="E20" s="8" t="s">
        <v>121</v>
      </c>
      <c r="L20" s="7" t="s">
        <v>226</v>
      </c>
      <c r="M20" s="8" t="s">
        <v>227</v>
      </c>
      <c r="Q20" s="8" t="s">
        <v>199</v>
      </c>
      <c r="R20" s="8" t="s">
        <v>117</v>
      </c>
      <c r="S20" s="8" t="s">
        <v>119</v>
      </c>
      <c r="T20" s="8" t="s">
        <v>121</v>
      </c>
      <c r="AA20" s="47" t="s">
        <v>228</v>
      </c>
    </row>
    <row r="21" customFormat="false" ht="27" hidden="false" customHeight="true" outlineLevel="0" collapsed="false">
      <c r="A21" s="19" t="s">
        <v>117</v>
      </c>
      <c r="B21" s="9" t="s">
        <v>118</v>
      </c>
      <c r="C21" s="31" t="n">
        <v>1</v>
      </c>
      <c r="D21" s="31" t="n">
        <f aca="false">نسبت!J45</f>
        <v>0.5</v>
      </c>
      <c r="E21" s="31" t="n">
        <f aca="false">نسبت!J46</f>
        <v>1</v>
      </c>
      <c r="L21" s="37" t="n">
        <f aca="false">IF($P$22=$P$21*($P$21-1)/2,GEOMEAN(C21:E21),"")</f>
        <v>0.7937005259841</v>
      </c>
      <c r="M21" s="36" t="n">
        <f aca="false">IF($P$22=$P$21*($P$21-1)/2,L21/SUM($L$21:$L$23),"")</f>
        <v>0.25</v>
      </c>
      <c r="O21" s="48" t="s">
        <v>229</v>
      </c>
      <c r="P21" s="11" t="n">
        <f aca="false">ROWS(A21:A23)</f>
        <v>3</v>
      </c>
      <c r="Q21" s="8" t="s">
        <v>117</v>
      </c>
      <c r="S21" s="30" t="n">
        <f aca="false">IF(AND(ISNUMBER(D21),ISNUMBER($M21),ISNUMBER($M22)),MAX(D21*$M22/$M21,$M21/(D21*$M22)),"")</f>
        <v>1</v>
      </c>
      <c r="T21" s="30" t="n">
        <f aca="false">IF(AND(ISNUMBER(E21),ISNUMBER($M21),ISNUMBER($M23)),MAX(E21*$M23/$M21,$M21/(E21*$M23)),"")</f>
        <v>1</v>
      </c>
      <c r="AA21" s="49" t="n">
        <f aca="false">IF(COUNT(R21:T21)=0,"",MAX(R21:T21))</f>
        <v>1</v>
      </c>
    </row>
    <row r="22" customFormat="false" ht="27" hidden="false" customHeight="true" outlineLevel="0" collapsed="false">
      <c r="A22" s="19" t="s">
        <v>119</v>
      </c>
      <c r="B22" s="9" t="s">
        <v>120</v>
      </c>
      <c r="C22" s="31" t="n">
        <f aca="false">IF(ISNUMBER(D21),1/D21,"")</f>
        <v>2</v>
      </c>
      <c r="D22" s="31" t="n">
        <v>1</v>
      </c>
      <c r="E22" s="31" t="n">
        <f aca="false">نسبت!J47</f>
        <v>2</v>
      </c>
      <c r="L22" s="37" t="n">
        <f aca="false">IF($P$22=$P$21*($P$21-1)/2,GEOMEAN(C22:E22),"")</f>
        <v>1.5874010519682</v>
      </c>
      <c r="M22" s="36" t="n">
        <f aca="false">IF($P$22=$P$21*($P$21-1)/2,L22/SUM($L$21:$L$23),"")</f>
        <v>0.5</v>
      </c>
      <c r="O22" s="48" t="s">
        <v>230</v>
      </c>
      <c r="P22" s="11" t="n">
        <f aca="false">(COUNT(C21:E23)-$P$21)/2</f>
        <v>3</v>
      </c>
      <c r="Q22" s="8" t="s">
        <v>119</v>
      </c>
      <c r="T22" s="30" t="n">
        <f aca="false">IF(AND(ISNUMBER(E22),ISNUMBER($M22),ISNUMBER($M23)),MAX(E22*$M23/$M22,$M22/(E22*$M23)),"")</f>
        <v>1</v>
      </c>
      <c r="AA22" s="49" t="n">
        <f aca="false">IF(COUNT(R22:T22)=0,"",MAX(R22:T22))</f>
        <v>1</v>
      </c>
    </row>
    <row r="23" customFormat="false" ht="27" hidden="false" customHeight="true" outlineLevel="0" collapsed="false">
      <c r="A23" s="19" t="s">
        <v>121</v>
      </c>
      <c r="B23" s="9" t="s">
        <v>122</v>
      </c>
      <c r="C23" s="31" t="n">
        <f aca="false">IF(ISNUMBER(E21),1/E21,"")</f>
        <v>1</v>
      </c>
      <c r="D23" s="31" t="n">
        <f aca="false">IF(ISNUMBER(E22),1/E22,"")</f>
        <v>0.5</v>
      </c>
      <c r="E23" s="31" t="n">
        <v>1</v>
      </c>
      <c r="L23" s="37" t="n">
        <f aca="false">IF($P$22=$P$21*($P$21-1)/2,GEOMEAN(C23:E23),"")</f>
        <v>0.7937005259841</v>
      </c>
      <c r="M23" s="36" t="n">
        <f aca="false">IF($P$22=$P$21*($P$21-1)/2,L23/SUM($L$21:$L$23),"")</f>
        <v>0.25</v>
      </c>
      <c r="O23" s="48" t="s">
        <v>231</v>
      </c>
      <c r="P23" s="37" t="n">
        <f aca="false">IF($P$22=$P$21*($P$21-1)/2,SUMPRODUCT(C24:E24,C25:E25),"")</f>
        <v>3</v>
      </c>
      <c r="Q23" s="8" t="s">
        <v>121</v>
      </c>
    </row>
    <row r="24" customFormat="false" ht="15" hidden="false" customHeight="false" outlineLevel="0" collapsed="false">
      <c r="A24" s="50"/>
      <c r="B24" s="51" t="s">
        <v>235</v>
      </c>
      <c r="C24" s="52" t="n">
        <f aca="false">IF($P$22=$P$21*($P$21-1)/2,SUM(C21:C23),"")</f>
        <v>4</v>
      </c>
      <c r="D24" s="52" t="n">
        <f aca="false">IF($P$22=$P$21*($P$21-1)/2,SUM(D21:D23),"")</f>
        <v>2</v>
      </c>
      <c r="E24" s="52" t="n">
        <f aca="false">IF($P$22=$P$21*($P$21-1)/2,SUM(E21:E23),"")</f>
        <v>4</v>
      </c>
      <c r="M24" s="53" t="n">
        <f aca="false">IF($P$22=$P$21*($P$21-1)/2,SUM(M21:M23),"")</f>
        <v>1</v>
      </c>
      <c r="O24" s="48" t="s">
        <v>48</v>
      </c>
      <c r="P24" s="37" t="n">
        <f aca="false">IF(ISNUMBER(P23),(P23-$P$21)/($P$21-1),"")</f>
        <v>0</v>
      </c>
    </row>
    <row r="25" customFormat="false" ht="15" hidden="false" customHeight="false" outlineLevel="0" collapsed="false">
      <c r="A25" s="50"/>
      <c r="B25" s="51" t="s">
        <v>236</v>
      </c>
      <c r="C25" s="53" t="n">
        <f aca="false">M21</f>
        <v>0.25</v>
      </c>
      <c r="D25" s="53" t="n">
        <f aca="false">M22</f>
        <v>0.5</v>
      </c>
      <c r="E25" s="53" t="n">
        <f aca="false">M23</f>
        <v>0.25</v>
      </c>
      <c r="O25" s="48" t="s">
        <v>232</v>
      </c>
      <c r="P25" s="30" t="n">
        <f aca="false">INDEX(راهنما!$C$29:$C$38,MATCH($P$21,راهنما!$B$29:$B$38,0))</f>
        <v>0.58</v>
      </c>
    </row>
    <row r="26" customFormat="false" ht="15" hidden="false" customHeight="false" outlineLevel="0" collapsed="false">
      <c r="O26" s="48" t="s">
        <v>50</v>
      </c>
      <c r="P26" s="41" t="n">
        <f aca="false">IF(ISNUMBER(P24),IF(P25=0,0,MAX(0,P24)/P25),"")</f>
        <v>0</v>
      </c>
    </row>
    <row r="27" customFormat="false" ht="15" hidden="false" customHeight="false" outlineLevel="0" collapsed="false">
      <c r="O27" s="48" t="s">
        <v>83</v>
      </c>
      <c r="P27" s="10" t="str">
        <f aca="false">IF(NOT($P$22=$P$21*($P$21-1)/2),"ناقص",IF(P26&lt;=$P$3,"سازگار","ناسازگار"))</f>
        <v>سازگار</v>
      </c>
    </row>
    <row r="28" customFormat="false" ht="15" hidden="false" customHeight="false" outlineLevel="0" collapsed="false">
      <c r="O28" s="48" t="s">
        <v>233</v>
      </c>
      <c r="P28" s="30" t="n">
        <f aca="false">IF(COUNT(AA21:AA23)=0,"",MAX(AA21:AA23))</f>
        <v>1</v>
      </c>
    </row>
    <row r="29" customFormat="false" ht="15" hidden="false" customHeight="false" outlineLevel="0" collapsed="false">
      <c r="O29" s="48" t="s">
        <v>234</v>
      </c>
      <c r="P29" s="19" t="str">
        <f aca="false">IF(ISNUMBER(P28),INDEX(A21:A23,MATCH(P28,AA21:AA23,0))&amp;" و "&amp;INDEX(C20:E20,MATCH(P28,INDEX(R21:T23,MATCH(P28,AA21:AA23,0),0),0)),"")</f>
        <v>گ۱ و گ۲</v>
      </c>
    </row>
    <row r="31" customFormat="false" ht="15" hidden="false" customHeight="false" outlineLevel="0" collapsed="false">
      <c r="A31" s="45" t="s">
        <v>238</v>
      </c>
      <c r="B31" s="45"/>
      <c r="C31" s="45"/>
      <c r="D31" s="45"/>
      <c r="E31" s="45"/>
      <c r="F31" s="45"/>
      <c r="G31" s="45"/>
      <c r="H31" s="45"/>
      <c r="I31" s="45"/>
      <c r="J31" s="45"/>
      <c r="K31" s="45"/>
      <c r="L31" s="45"/>
      <c r="M31" s="45"/>
      <c r="Q31" s="46" t="s">
        <v>224</v>
      </c>
      <c r="R31" s="46"/>
      <c r="S31" s="46"/>
      <c r="T31" s="46"/>
      <c r="U31" s="46"/>
      <c r="V31" s="46"/>
      <c r="W31" s="46"/>
      <c r="X31" s="46"/>
      <c r="Y31" s="46"/>
      <c r="Z31" s="46"/>
      <c r="AA31" s="46"/>
    </row>
    <row r="32" customFormat="false" ht="27.75" hidden="false" customHeight="true" outlineLevel="0" collapsed="false">
      <c r="A32" s="8" t="s">
        <v>199</v>
      </c>
      <c r="B32" s="8" t="s">
        <v>225</v>
      </c>
      <c r="C32" s="8" t="s">
        <v>123</v>
      </c>
      <c r="D32" s="8" t="s">
        <v>125</v>
      </c>
      <c r="E32" s="8" t="s">
        <v>127</v>
      </c>
      <c r="F32" s="8" t="s">
        <v>129</v>
      </c>
      <c r="L32" s="7" t="s">
        <v>226</v>
      </c>
      <c r="M32" s="8" t="s">
        <v>227</v>
      </c>
      <c r="Q32" s="8" t="s">
        <v>199</v>
      </c>
      <c r="R32" s="8" t="s">
        <v>123</v>
      </c>
      <c r="S32" s="8" t="s">
        <v>125</v>
      </c>
      <c r="T32" s="8" t="s">
        <v>127</v>
      </c>
      <c r="U32" s="8" t="s">
        <v>129</v>
      </c>
      <c r="AA32" s="47" t="s">
        <v>228</v>
      </c>
    </row>
    <row r="33" customFormat="false" ht="27" hidden="false" customHeight="true" outlineLevel="0" collapsed="false">
      <c r="A33" s="19" t="s">
        <v>123</v>
      </c>
      <c r="B33" s="9" t="s">
        <v>124</v>
      </c>
      <c r="C33" s="31" t="n">
        <v>1</v>
      </c>
      <c r="D33" s="31" t="n">
        <f aca="false">نسبت!J48</f>
        <v>1</v>
      </c>
      <c r="E33" s="31" t="n">
        <f aca="false">نسبت!J49</f>
        <v>2</v>
      </c>
      <c r="F33" s="31" t="n">
        <f aca="false">نسبت!J50</f>
        <v>2</v>
      </c>
      <c r="L33" s="37" t="n">
        <f aca="false">IF($P$34=$P$33*($P$33-1)/2,GEOMEAN(C33:F33),"")</f>
        <v>1.4142135623731</v>
      </c>
      <c r="M33" s="36" t="n">
        <f aca="false">IF($P$34=$P$33*($P$33-1)/2,L33/SUM($L$33:$L$36),"")</f>
        <v>0.333333333333333</v>
      </c>
      <c r="O33" s="48" t="s">
        <v>229</v>
      </c>
      <c r="P33" s="11" t="n">
        <f aca="false">ROWS(A33:A36)</f>
        <v>4</v>
      </c>
      <c r="Q33" s="8" t="s">
        <v>123</v>
      </c>
      <c r="S33" s="30" t="n">
        <f aca="false">IF(AND(ISNUMBER(D33),ISNUMBER($M33),ISNUMBER($M34)),MAX(D33*$M34/$M33,$M33/(D33*$M34)),"")</f>
        <v>1</v>
      </c>
      <c r="T33" s="30" t="n">
        <f aca="false">IF(AND(ISNUMBER(E33),ISNUMBER($M33),ISNUMBER($M35)),MAX(E33*$M35/$M33,$M33/(E33*$M35)),"")</f>
        <v>1</v>
      </c>
      <c r="U33" s="30" t="n">
        <f aca="false">IF(AND(ISNUMBER(F33),ISNUMBER($M33),ISNUMBER($M36)),MAX(F33*$M36/$M33,$M33/(F33*$M36)),"")</f>
        <v>1</v>
      </c>
      <c r="AA33" s="49" t="n">
        <f aca="false">IF(COUNT(R33:U33)=0,"",MAX(R33:U33))</f>
        <v>1</v>
      </c>
    </row>
    <row r="34" customFormat="false" ht="27" hidden="false" customHeight="true" outlineLevel="0" collapsed="false">
      <c r="A34" s="19" t="s">
        <v>125</v>
      </c>
      <c r="B34" s="9" t="s">
        <v>126</v>
      </c>
      <c r="C34" s="31" t="n">
        <f aca="false">IF(ISNUMBER(D33),1/D33,"")</f>
        <v>1</v>
      </c>
      <c r="D34" s="31" t="n">
        <v>1</v>
      </c>
      <c r="E34" s="31" t="n">
        <f aca="false">نسبت!J51</f>
        <v>2</v>
      </c>
      <c r="F34" s="31" t="n">
        <f aca="false">نسبت!J52</f>
        <v>2</v>
      </c>
      <c r="L34" s="37" t="n">
        <f aca="false">IF($P$34=$P$33*($P$33-1)/2,GEOMEAN(C34:F34),"")</f>
        <v>1.4142135623731</v>
      </c>
      <c r="M34" s="36" t="n">
        <f aca="false">IF($P$34=$P$33*($P$33-1)/2,L34/SUM($L$33:$L$36),"")</f>
        <v>0.333333333333333</v>
      </c>
      <c r="O34" s="48" t="s">
        <v>230</v>
      </c>
      <c r="P34" s="11" t="n">
        <f aca="false">(COUNT(C33:F36)-$P$33)/2</f>
        <v>6</v>
      </c>
      <c r="Q34" s="8" t="s">
        <v>125</v>
      </c>
      <c r="T34" s="30" t="n">
        <f aca="false">IF(AND(ISNUMBER(E34),ISNUMBER($M34),ISNUMBER($M35)),MAX(E34*$M35/$M34,$M34/(E34*$M35)),"")</f>
        <v>1</v>
      </c>
      <c r="U34" s="30" t="n">
        <f aca="false">IF(AND(ISNUMBER(F34),ISNUMBER($M34),ISNUMBER($M36)),MAX(F34*$M36/$M34,$M34/(F34*$M36)),"")</f>
        <v>1</v>
      </c>
      <c r="AA34" s="49" t="n">
        <f aca="false">IF(COUNT(R34:U34)=0,"",MAX(R34:U34))</f>
        <v>1</v>
      </c>
    </row>
    <row r="35" customFormat="false" ht="27" hidden="false" customHeight="true" outlineLevel="0" collapsed="false">
      <c r="A35" s="19" t="s">
        <v>127</v>
      </c>
      <c r="B35" s="9" t="s">
        <v>128</v>
      </c>
      <c r="C35" s="31" t="n">
        <f aca="false">IF(ISNUMBER(E33),1/E33,"")</f>
        <v>0.5</v>
      </c>
      <c r="D35" s="31" t="n">
        <f aca="false">IF(ISNUMBER(E34),1/E34,"")</f>
        <v>0.5</v>
      </c>
      <c r="E35" s="31" t="n">
        <v>1</v>
      </c>
      <c r="F35" s="31" t="n">
        <f aca="false">نسبت!J53</f>
        <v>1</v>
      </c>
      <c r="L35" s="37" t="n">
        <f aca="false">IF($P$34=$P$33*($P$33-1)/2,GEOMEAN(C35:F35),"")</f>
        <v>0.707106781186548</v>
      </c>
      <c r="M35" s="36" t="n">
        <f aca="false">IF($P$34=$P$33*($P$33-1)/2,L35/SUM($L$33:$L$36),"")</f>
        <v>0.166666666666667</v>
      </c>
      <c r="O35" s="48" t="s">
        <v>231</v>
      </c>
      <c r="P35" s="37" t="n">
        <f aca="false">IF($P$34=$P$33*($P$33-1)/2,SUMPRODUCT(C37:F37,C38:F38),"")</f>
        <v>4</v>
      </c>
      <c r="Q35" s="8" t="s">
        <v>127</v>
      </c>
      <c r="U35" s="30" t="n">
        <f aca="false">IF(AND(ISNUMBER(F35),ISNUMBER($M35),ISNUMBER($M36)),MAX(F35*$M36/$M35,$M35/(F35*$M36)),"")</f>
        <v>1</v>
      </c>
      <c r="AA35" s="49" t="n">
        <f aca="false">IF(COUNT(R35:U35)=0,"",MAX(R35:U35))</f>
        <v>1</v>
      </c>
    </row>
    <row r="36" customFormat="false" ht="27" hidden="false" customHeight="true" outlineLevel="0" collapsed="false">
      <c r="A36" s="19" t="s">
        <v>129</v>
      </c>
      <c r="B36" s="9" t="s">
        <v>130</v>
      </c>
      <c r="C36" s="31" t="n">
        <f aca="false">IF(ISNUMBER(F33),1/F33,"")</f>
        <v>0.5</v>
      </c>
      <c r="D36" s="31" t="n">
        <f aca="false">IF(ISNUMBER(F34),1/F34,"")</f>
        <v>0.5</v>
      </c>
      <c r="E36" s="31" t="n">
        <f aca="false">IF(ISNUMBER(F35),1/F35,"")</f>
        <v>1</v>
      </c>
      <c r="F36" s="31" t="n">
        <v>1</v>
      </c>
      <c r="L36" s="37" t="n">
        <f aca="false">IF($P$34=$P$33*($P$33-1)/2,GEOMEAN(C36:F36),"")</f>
        <v>0.707106781186548</v>
      </c>
      <c r="M36" s="36" t="n">
        <f aca="false">IF($P$34=$P$33*($P$33-1)/2,L36/SUM($L$33:$L$36),"")</f>
        <v>0.166666666666667</v>
      </c>
      <c r="O36" s="48" t="s">
        <v>48</v>
      </c>
      <c r="P36" s="37" t="n">
        <f aca="false">IF(ISNUMBER(P35),(P35-$P$33)/($P$33-1),"")</f>
        <v>0</v>
      </c>
      <c r="Q36" s="8" t="s">
        <v>129</v>
      </c>
    </row>
    <row r="37" customFormat="false" ht="15" hidden="false" customHeight="false" outlineLevel="0" collapsed="false">
      <c r="A37" s="50"/>
      <c r="B37" s="51" t="s">
        <v>235</v>
      </c>
      <c r="C37" s="52" t="n">
        <f aca="false">IF($P$34=$P$33*($P$33-1)/2,SUM(C33:C36),"")</f>
        <v>3</v>
      </c>
      <c r="D37" s="52" t="n">
        <f aca="false">IF($P$34=$P$33*($P$33-1)/2,SUM(D33:D36),"")</f>
        <v>3</v>
      </c>
      <c r="E37" s="52" t="n">
        <f aca="false">IF($P$34=$P$33*($P$33-1)/2,SUM(E33:E36),"")</f>
        <v>6</v>
      </c>
      <c r="F37" s="52" t="n">
        <f aca="false">IF($P$34=$P$33*($P$33-1)/2,SUM(F33:F36),"")</f>
        <v>6</v>
      </c>
      <c r="M37" s="53" t="n">
        <f aca="false">IF($P$34=$P$33*($P$33-1)/2,SUM(M33:M36),"")</f>
        <v>1</v>
      </c>
      <c r="O37" s="48" t="s">
        <v>232</v>
      </c>
      <c r="P37" s="30" t="n">
        <f aca="false">INDEX(راهنما!$C$29:$C$38,MATCH($P$33,راهنما!$B$29:$B$38,0))</f>
        <v>0.9</v>
      </c>
    </row>
    <row r="38" customFormat="false" ht="15" hidden="false" customHeight="false" outlineLevel="0" collapsed="false">
      <c r="A38" s="50"/>
      <c r="B38" s="51" t="s">
        <v>236</v>
      </c>
      <c r="C38" s="53" t="n">
        <f aca="false">M33</f>
        <v>0.333333333333333</v>
      </c>
      <c r="D38" s="53" t="n">
        <f aca="false">M34</f>
        <v>0.333333333333333</v>
      </c>
      <c r="E38" s="53" t="n">
        <f aca="false">M35</f>
        <v>0.166666666666667</v>
      </c>
      <c r="F38" s="53" t="n">
        <f aca="false">M36</f>
        <v>0.166666666666667</v>
      </c>
      <c r="O38" s="48" t="s">
        <v>50</v>
      </c>
      <c r="P38" s="41" t="n">
        <f aca="false">IF(ISNUMBER(P36),IF(P37=0,0,MAX(0,P36)/P37),"")</f>
        <v>0</v>
      </c>
    </row>
    <row r="39" customFormat="false" ht="15" hidden="false" customHeight="false" outlineLevel="0" collapsed="false">
      <c r="O39" s="48" t="s">
        <v>83</v>
      </c>
      <c r="P39" s="10" t="str">
        <f aca="false">IF(NOT($P$34=$P$33*($P$33-1)/2),"ناقص",IF(P38&lt;=$P$3,"سازگار","ناسازگار"))</f>
        <v>سازگار</v>
      </c>
    </row>
    <row r="40" customFormat="false" ht="15" hidden="false" customHeight="false" outlineLevel="0" collapsed="false">
      <c r="O40" s="48" t="s">
        <v>233</v>
      </c>
      <c r="P40" s="30" t="n">
        <f aca="false">IF(COUNT(AA33:AA36)=0,"",MAX(AA33:AA36))</f>
        <v>1</v>
      </c>
    </row>
    <row r="41" customFormat="false" ht="15" hidden="false" customHeight="false" outlineLevel="0" collapsed="false">
      <c r="O41" s="48" t="s">
        <v>234</v>
      </c>
      <c r="P41" s="19" t="str">
        <f aca="false">IF(ISNUMBER(P40),INDEX(A33:A36,MATCH(P40,AA33:AA36,0))&amp;" و "&amp;INDEX(C32:F32,MATCH(P40,INDEX(R33:U36,MATCH(P40,AA33:AA36,0),0),0)),"")</f>
        <v>گ۴ و گ۵</v>
      </c>
    </row>
    <row r="43" customFormat="false" ht="15" hidden="false" customHeight="false" outlineLevel="0" collapsed="false">
      <c r="A43" s="45" t="s">
        <v>239</v>
      </c>
      <c r="B43" s="45"/>
      <c r="C43" s="45"/>
      <c r="D43" s="45"/>
      <c r="E43" s="45"/>
      <c r="F43" s="45"/>
      <c r="G43" s="45"/>
      <c r="H43" s="45"/>
      <c r="I43" s="45"/>
      <c r="J43" s="45"/>
      <c r="K43" s="45"/>
      <c r="L43" s="45"/>
      <c r="M43" s="45"/>
      <c r="Q43" s="46" t="s">
        <v>224</v>
      </c>
      <c r="R43" s="46"/>
      <c r="S43" s="46"/>
      <c r="T43" s="46"/>
      <c r="U43" s="46"/>
      <c r="V43" s="46"/>
      <c r="W43" s="46"/>
      <c r="X43" s="46"/>
      <c r="Y43" s="46"/>
      <c r="Z43" s="46"/>
      <c r="AA43" s="46"/>
    </row>
    <row r="44" customFormat="false" ht="27.75" hidden="false" customHeight="true" outlineLevel="0" collapsed="false">
      <c r="A44" s="8" t="s">
        <v>199</v>
      </c>
      <c r="B44" s="8" t="s">
        <v>225</v>
      </c>
      <c r="C44" s="8" t="s">
        <v>131</v>
      </c>
      <c r="D44" s="8" t="s">
        <v>133</v>
      </c>
      <c r="E44" s="8" t="s">
        <v>135</v>
      </c>
      <c r="L44" s="7" t="s">
        <v>226</v>
      </c>
      <c r="M44" s="8" t="s">
        <v>227</v>
      </c>
      <c r="Q44" s="8" t="s">
        <v>199</v>
      </c>
      <c r="R44" s="8" t="s">
        <v>131</v>
      </c>
      <c r="S44" s="8" t="s">
        <v>133</v>
      </c>
      <c r="T44" s="8" t="s">
        <v>135</v>
      </c>
      <c r="AA44" s="47" t="s">
        <v>228</v>
      </c>
    </row>
    <row r="45" customFormat="false" ht="27" hidden="false" customHeight="true" outlineLevel="0" collapsed="false">
      <c r="A45" s="19" t="s">
        <v>131</v>
      </c>
      <c r="B45" s="9" t="s">
        <v>132</v>
      </c>
      <c r="C45" s="31" t="n">
        <v>1</v>
      </c>
      <c r="D45" s="31" t="n">
        <f aca="false">نسبت!J54</f>
        <v>1</v>
      </c>
      <c r="E45" s="31" t="n">
        <f aca="false">نسبت!J55</f>
        <v>2</v>
      </c>
      <c r="L45" s="37" t="n">
        <f aca="false">IF($P$46=$P$45*($P$45-1)/2,GEOMEAN(C45:E45),"")</f>
        <v>1.25992104989487</v>
      </c>
      <c r="M45" s="36" t="n">
        <f aca="false">IF($P$46=$P$45*($P$45-1)/2,L45/SUM($L$45:$L$47),"")</f>
        <v>0.4</v>
      </c>
      <c r="O45" s="48" t="s">
        <v>229</v>
      </c>
      <c r="P45" s="11" t="n">
        <f aca="false">ROWS(A45:A47)</f>
        <v>3</v>
      </c>
      <c r="Q45" s="8" t="s">
        <v>131</v>
      </c>
      <c r="S45" s="30" t="n">
        <f aca="false">IF(AND(ISNUMBER(D45),ISNUMBER($M45),ISNUMBER($M46)),MAX(D45*$M46/$M45,$M45/(D45*$M46)),"")</f>
        <v>1</v>
      </c>
      <c r="T45" s="30" t="n">
        <f aca="false">IF(AND(ISNUMBER(E45),ISNUMBER($M45),ISNUMBER($M47)),MAX(E45*$M47/$M45,$M45/(E45*$M47)),"")</f>
        <v>1</v>
      </c>
      <c r="AA45" s="49" t="n">
        <f aca="false">IF(COUNT(R45:T45)=0,"",MAX(R45:T45))</f>
        <v>1</v>
      </c>
    </row>
    <row r="46" customFormat="false" ht="27" hidden="false" customHeight="true" outlineLevel="0" collapsed="false">
      <c r="A46" s="19" t="s">
        <v>133</v>
      </c>
      <c r="B46" s="9" t="s">
        <v>134</v>
      </c>
      <c r="C46" s="31" t="n">
        <f aca="false">IF(ISNUMBER(D45),1/D45,"")</f>
        <v>1</v>
      </c>
      <c r="D46" s="31" t="n">
        <v>1</v>
      </c>
      <c r="E46" s="31" t="n">
        <f aca="false">نسبت!J56</f>
        <v>2</v>
      </c>
      <c r="L46" s="37" t="n">
        <f aca="false">IF($P$46=$P$45*($P$45-1)/2,GEOMEAN(C46:E46),"")</f>
        <v>1.25992104989487</v>
      </c>
      <c r="M46" s="36" t="n">
        <f aca="false">IF($P$46=$P$45*($P$45-1)/2,L46/SUM($L$45:$L$47),"")</f>
        <v>0.4</v>
      </c>
      <c r="O46" s="48" t="s">
        <v>230</v>
      </c>
      <c r="P46" s="11" t="n">
        <f aca="false">(COUNT(C45:E47)-$P$45)/2</f>
        <v>3</v>
      </c>
      <c r="Q46" s="8" t="s">
        <v>133</v>
      </c>
      <c r="T46" s="30" t="n">
        <f aca="false">IF(AND(ISNUMBER(E46),ISNUMBER($M46),ISNUMBER($M47)),MAX(E46*$M47/$M46,$M46/(E46*$M47)),"")</f>
        <v>1</v>
      </c>
      <c r="AA46" s="49" t="n">
        <f aca="false">IF(COUNT(R46:T46)=0,"",MAX(R46:T46))</f>
        <v>1</v>
      </c>
    </row>
    <row r="47" customFormat="false" ht="27" hidden="false" customHeight="true" outlineLevel="0" collapsed="false">
      <c r="A47" s="19" t="s">
        <v>135</v>
      </c>
      <c r="B47" s="9" t="s">
        <v>136</v>
      </c>
      <c r="C47" s="31" t="n">
        <f aca="false">IF(ISNUMBER(E45),1/E45,"")</f>
        <v>0.5</v>
      </c>
      <c r="D47" s="31" t="n">
        <f aca="false">IF(ISNUMBER(E46),1/E46,"")</f>
        <v>0.5</v>
      </c>
      <c r="E47" s="31" t="n">
        <v>1</v>
      </c>
      <c r="L47" s="37" t="n">
        <f aca="false">IF($P$46=$P$45*($P$45-1)/2,GEOMEAN(C47:E47),"")</f>
        <v>0.629960524947437</v>
      </c>
      <c r="M47" s="36" t="n">
        <f aca="false">IF($P$46=$P$45*($P$45-1)/2,L47/SUM($L$45:$L$47),"")</f>
        <v>0.2</v>
      </c>
      <c r="O47" s="48" t="s">
        <v>231</v>
      </c>
      <c r="P47" s="37" t="n">
        <f aca="false">IF($P$46=$P$45*($P$45-1)/2,SUMPRODUCT(C48:E48,C49:E49),"")</f>
        <v>3</v>
      </c>
      <c r="Q47" s="8" t="s">
        <v>135</v>
      </c>
    </row>
    <row r="48" customFormat="false" ht="15" hidden="false" customHeight="false" outlineLevel="0" collapsed="false">
      <c r="A48" s="50"/>
      <c r="B48" s="51" t="s">
        <v>235</v>
      </c>
      <c r="C48" s="52" t="n">
        <f aca="false">IF($P$46=$P$45*($P$45-1)/2,SUM(C45:C47),"")</f>
        <v>2.5</v>
      </c>
      <c r="D48" s="52" t="n">
        <f aca="false">IF($P$46=$P$45*($P$45-1)/2,SUM(D45:D47),"")</f>
        <v>2.5</v>
      </c>
      <c r="E48" s="52" t="n">
        <f aca="false">IF($P$46=$P$45*($P$45-1)/2,SUM(E45:E47),"")</f>
        <v>5</v>
      </c>
      <c r="M48" s="53" t="n">
        <f aca="false">IF($P$46=$P$45*($P$45-1)/2,SUM(M45:M47),"")</f>
        <v>1</v>
      </c>
      <c r="O48" s="48" t="s">
        <v>48</v>
      </c>
      <c r="P48" s="37" t="n">
        <f aca="false">IF(ISNUMBER(P47),(P47-$P$45)/($P$45-1),"")</f>
        <v>0</v>
      </c>
    </row>
    <row r="49" customFormat="false" ht="15" hidden="false" customHeight="false" outlineLevel="0" collapsed="false">
      <c r="A49" s="50"/>
      <c r="B49" s="51" t="s">
        <v>236</v>
      </c>
      <c r="C49" s="53" t="n">
        <f aca="false">M45</f>
        <v>0.4</v>
      </c>
      <c r="D49" s="53" t="n">
        <f aca="false">M46</f>
        <v>0.4</v>
      </c>
      <c r="E49" s="53" t="n">
        <f aca="false">M47</f>
        <v>0.2</v>
      </c>
      <c r="O49" s="48" t="s">
        <v>232</v>
      </c>
      <c r="P49" s="30" t="n">
        <f aca="false">INDEX(راهنما!$C$29:$C$38,MATCH($P$45,راهنما!$B$29:$B$38,0))</f>
        <v>0.58</v>
      </c>
    </row>
    <row r="50" customFormat="false" ht="15" hidden="false" customHeight="false" outlineLevel="0" collapsed="false">
      <c r="O50" s="48" t="s">
        <v>50</v>
      </c>
      <c r="P50" s="41" t="n">
        <f aca="false">IF(ISNUMBER(P48),IF(P49=0,0,MAX(0,P48)/P49),"")</f>
        <v>0</v>
      </c>
    </row>
    <row r="51" customFormat="false" ht="15" hidden="false" customHeight="false" outlineLevel="0" collapsed="false">
      <c r="O51" s="48" t="s">
        <v>83</v>
      </c>
      <c r="P51" s="10" t="str">
        <f aca="false">IF(NOT($P$46=$P$45*($P$45-1)/2),"ناقص",IF(P50&lt;=$P$3,"سازگار","ناسازگار"))</f>
        <v>سازگار</v>
      </c>
    </row>
    <row r="52" customFormat="false" ht="15" hidden="false" customHeight="false" outlineLevel="0" collapsed="false">
      <c r="O52" s="48" t="s">
        <v>233</v>
      </c>
      <c r="P52" s="30" t="n">
        <f aca="false">IF(COUNT(AA45:AA47)=0,"",MAX(AA45:AA47))</f>
        <v>1</v>
      </c>
    </row>
    <row r="53" customFormat="false" ht="15" hidden="false" customHeight="false" outlineLevel="0" collapsed="false">
      <c r="O53" s="48" t="s">
        <v>234</v>
      </c>
      <c r="P53" s="19" t="str">
        <f aca="false">IF(ISNUMBER(P52),INDEX(A45:A47,MATCH(P52,AA45:AA47,0))&amp;" و "&amp;INDEX(C44:E44,MATCH(P52,INDEX(R45:T47,MATCH(P52,AA45:AA47,0),0),0)),"")</f>
        <v>گ۸ و گ۹</v>
      </c>
    </row>
    <row r="55" customFormat="false" ht="15" hidden="false" customHeight="false" outlineLevel="0" collapsed="false">
      <c r="A55" s="45" t="s">
        <v>240</v>
      </c>
      <c r="B55" s="45"/>
      <c r="C55" s="45"/>
      <c r="D55" s="45"/>
      <c r="E55" s="45"/>
      <c r="F55" s="45"/>
      <c r="G55" s="45"/>
      <c r="H55" s="45"/>
      <c r="I55" s="45"/>
      <c r="J55" s="45"/>
      <c r="K55" s="45"/>
      <c r="L55" s="45"/>
      <c r="M55" s="45"/>
      <c r="Q55" s="46" t="s">
        <v>224</v>
      </c>
      <c r="R55" s="46"/>
      <c r="S55" s="46"/>
      <c r="T55" s="46"/>
      <c r="U55" s="46"/>
      <c r="V55" s="46"/>
      <c r="W55" s="46"/>
      <c r="X55" s="46"/>
      <c r="Y55" s="46"/>
      <c r="Z55" s="46"/>
      <c r="AA55" s="46"/>
    </row>
    <row r="56" customFormat="false" ht="27.75" hidden="false" customHeight="true" outlineLevel="0" collapsed="false">
      <c r="A56" s="8" t="s">
        <v>199</v>
      </c>
      <c r="B56" s="8" t="s">
        <v>225</v>
      </c>
      <c r="C56" s="8" t="s">
        <v>137</v>
      </c>
      <c r="D56" s="8" t="s">
        <v>139</v>
      </c>
      <c r="E56" s="8" t="s">
        <v>141</v>
      </c>
      <c r="F56" s="8" t="s">
        <v>143</v>
      </c>
      <c r="L56" s="7" t="s">
        <v>226</v>
      </c>
      <c r="M56" s="8" t="s">
        <v>227</v>
      </c>
      <c r="Q56" s="8" t="s">
        <v>199</v>
      </c>
      <c r="R56" s="8" t="s">
        <v>137</v>
      </c>
      <c r="S56" s="8" t="s">
        <v>139</v>
      </c>
      <c r="T56" s="8" t="s">
        <v>141</v>
      </c>
      <c r="U56" s="8" t="s">
        <v>143</v>
      </c>
      <c r="AA56" s="47" t="s">
        <v>228</v>
      </c>
    </row>
    <row r="57" customFormat="false" ht="27" hidden="false" customHeight="true" outlineLevel="0" collapsed="false">
      <c r="A57" s="19" t="s">
        <v>137</v>
      </c>
      <c r="B57" s="9" t="s">
        <v>138</v>
      </c>
      <c r="C57" s="31" t="n">
        <v>1</v>
      </c>
      <c r="D57" s="31" t="n">
        <f aca="false">نسبت!J57</f>
        <v>1</v>
      </c>
      <c r="E57" s="31" t="n">
        <f aca="false">نسبت!J58</f>
        <v>2</v>
      </c>
      <c r="F57" s="31" t="n">
        <f aca="false">نسبت!J59</f>
        <v>1</v>
      </c>
      <c r="L57" s="37" t="n">
        <f aca="false">IF($P$58=$P$57*($P$57-1)/2,GEOMEAN(C57:F57),"")</f>
        <v>1.18920711500272</v>
      </c>
      <c r="M57" s="36" t="n">
        <f aca="false">IF($P$58=$P$57*($P$57-1)/2,L57/SUM($L$57:$L$60),"")</f>
        <v>0.285714285714286</v>
      </c>
      <c r="O57" s="48" t="s">
        <v>229</v>
      </c>
      <c r="P57" s="11" t="n">
        <f aca="false">ROWS(A57:A60)</f>
        <v>4</v>
      </c>
      <c r="Q57" s="8" t="s">
        <v>137</v>
      </c>
      <c r="S57" s="30" t="n">
        <f aca="false">IF(AND(ISNUMBER(D57),ISNUMBER($M57),ISNUMBER($M58)),MAX(D57*$M58/$M57,$M57/(D57*$M58)),"")</f>
        <v>1</v>
      </c>
      <c r="T57" s="30" t="n">
        <f aca="false">IF(AND(ISNUMBER(E57),ISNUMBER($M57),ISNUMBER($M59)),MAX(E57*$M59/$M57,$M57/(E57*$M59)),"")</f>
        <v>1</v>
      </c>
      <c r="U57" s="30" t="n">
        <f aca="false">IF(AND(ISNUMBER(F57),ISNUMBER($M57),ISNUMBER($M60)),MAX(F57*$M60/$M57,$M57/(F57*$M60)),"")</f>
        <v>1</v>
      </c>
      <c r="AA57" s="49" t="n">
        <f aca="false">IF(COUNT(R57:U57)=0,"",MAX(R57:U57))</f>
        <v>1</v>
      </c>
    </row>
    <row r="58" customFormat="false" ht="27" hidden="false" customHeight="true" outlineLevel="0" collapsed="false">
      <c r="A58" s="19" t="s">
        <v>139</v>
      </c>
      <c r="B58" s="9" t="s">
        <v>140</v>
      </c>
      <c r="C58" s="31" t="n">
        <f aca="false">IF(ISNUMBER(D57),1/D57,"")</f>
        <v>1</v>
      </c>
      <c r="D58" s="31" t="n">
        <v>1</v>
      </c>
      <c r="E58" s="31" t="n">
        <f aca="false">نسبت!J60</f>
        <v>2</v>
      </c>
      <c r="F58" s="31" t="n">
        <f aca="false">نسبت!J61</f>
        <v>1</v>
      </c>
      <c r="L58" s="37" t="n">
        <f aca="false">IF($P$58=$P$57*($P$57-1)/2,GEOMEAN(C58:F58),"")</f>
        <v>1.18920711500272</v>
      </c>
      <c r="M58" s="36" t="n">
        <f aca="false">IF($P$58=$P$57*($P$57-1)/2,L58/SUM($L$57:$L$60),"")</f>
        <v>0.285714285714286</v>
      </c>
      <c r="O58" s="48" t="s">
        <v>230</v>
      </c>
      <c r="P58" s="11" t="n">
        <f aca="false">(COUNT(C57:F60)-$P$57)/2</f>
        <v>6</v>
      </c>
      <c r="Q58" s="8" t="s">
        <v>139</v>
      </c>
      <c r="T58" s="30" t="n">
        <f aca="false">IF(AND(ISNUMBER(E58),ISNUMBER($M58),ISNUMBER($M59)),MAX(E58*$M59/$M58,$M58/(E58*$M59)),"")</f>
        <v>1</v>
      </c>
      <c r="U58" s="30" t="n">
        <f aca="false">IF(AND(ISNUMBER(F58),ISNUMBER($M58),ISNUMBER($M60)),MAX(F58*$M60/$M58,$M58/(F58*$M60)),"")</f>
        <v>1</v>
      </c>
      <c r="AA58" s="49" t="n">
        <f aca="false">IF(COUNT(R58:U58)=0,"",MAX(R58:U58))</f>
        <v>1</v>
      </c>
    </row>
    <row r="59" customFormat="false" ht="27" hidden="false" customHeight="true" outlineLevel="0" collapsed="false">
      <c r="A59" s="19" t="s">
        <v>141</v>
      </c>
      <c r="B59" s="9" t="s">
        <v>142</v>
      </c>
      <c r="C59" s="31" t="n">
        <f aca="false">IF(ISNUMBER(E57),1/E57,"")</f>
        <v>0.5</v>
      </c>
      <c r="D59" s="31" t="n">
        <f aca="false">IF(ISNUMBER(E58),1/E58,"")</f>
        <v>0.5</v>
      </c>
      <c r="E59" s="31" t="n">
        <v>1</v>
      </c>
      <c r="F59" s="31" t="n">
        <f aca="false">نسبت!J62</f>
        <v>0.5</v>
      </c>
      <c r="L59" s="37" t="n">
        <f aca="false">IF($P$58=$P$57*($P$57-1)/2,GEOMEAN(C59:F59),"")</f>
        <v>0.594603557501361</v>
      </c>
      <c r="M59" s="36" t="n">
        <f aca="false">IF($P$58=$P$57*($P$57-1)/2,L59/SUM($L$57:$L$60),"")</f>
        <v>0.142857142857143</v>
      </c>
      <c r="O59" s="48" t="s">
        <v>231</v>
      </c>
      <c r="P59" s="37" t="n">
        <f aca="false">IF($P$58=$P$57*($P$57-1)/2,SUMPRODUCT(C61:F61,C62:F62),"")</f>
        <v>4</v>
      </c>
      <c r="Q59" s="8" t="s">
        <v>141</v>
      </c>
      <c r="U59" s="30" t="n">
        <f aca="false">IF(AND(ISNUMBER(F59),ISNUMBER($M59),ISNUMBER($M60)),MAX(F59*$M60/$M59,$M59/(F59*$M60)),"")</f>
        <v>1</v>
      </c>
      <c r="AA59" s="49" t="n">
        <f aca="false">IF(COUNT(R59:U59)=0,"",MAX(R59:U59))</f>
        <v>1</v>
      </c>
    </row>
    <row r="60" customFormat="false" ht="27" hidden="false" customHeight="true" outlineLevel="0" collapsed="false">
      <c r="A60" s="19" t="s">
        <v>143</v>
      </c>
      <c r="B60" s="9" t="s">
        <v>144</v>
      </c>
      <c r="C60" s="31" t="n">
        <f aca="false">IF(ISNUMBER(F57),1/F57,"")</f>
        <v>1</v>
      </c>
      <c r="D60" s="31" t="n">
        <f aca="false">IF(ISNUMBER(F58),1/F58,"")</f>
        <v>1</v>
      </c>
      <c r="E60" s="31" t="n">
        <f aca="false">IF(ISNUMBER(F59),1/F59,"")</f>
        <v>2</v>
      </c>
      <c r="F60" s="31" t="n">
        <v>1</v>
      </c>
      <c r="L60" s="37" t="n">
        <f aca="false">IF($P$58=$P$57*($P$57-1)/2,GEOMEAN(C60:F60),"")</f>
        <v>1.18920711500272</v>
      </c>
      <c r="M60" s="36" t="n">
        <f aca="false">IF($P$58=$P$57*($P$57-1)/2,L60/SUM($L$57:$L$60),"")</f>
        <v>0.285714285714286</v>
      </c>
      <c r="O60" s="48" t="s">
        <v>48</v>
      </c>
      <c r="P60" s="37" t="n">
        <f aca="false">IF(ISNUMBER(P59),(P59-$P$57)/($P$57-1),"")</f>
        <v>0</v>
      </c>
      <c r="Q60" s="8" t="s">
        <v>143</v>
      </c>
    </row>
    <row r="61" customFormat="false" ht="15" hidden="false" customHeight="false" outlineLevel="0" collapsed="false">
      <c r="A61" s="50"/>
      <c r="B61" s="51" t="s">
        <v>235</v>
      </c>
      <c r="C61" s="52" t="n">
        <f aca="false">IF($P$58=$P$57*($P$57-1)/2,SUM(C57:C60),"")</f>
        <v>3.5</v>
      </c>
      <c r="D61" s="52" t="n">
        <f aca="false">IF($P$58=$P$57*($P$57-1)/2,SUM(D57:D60),"")</f>
        <v>3.5</v>
      </c>
      <c r="E61" s="52" t="n">
        <f aca="false">IF($P$58=$P$57*($P$57-1)/2,SUM(E57:E60),"")</f>
        <v>7</v>
      </c>
      <c r="F61" s="52" t="n">
        <f aca="false">IF($P$58=$P$57*($P$57-1)/2,SUM(F57:F60),"")</f>
        <v>3.5</v>
      </c>
      <c r="M61" s="53" t="n">
        <f aca="false">IF($P$58=$P$57*($P$57-1)/2,SUM(M57:M60),"")</f>
        <v>1</v>
      </c>
      <c r="O61" s="48" t="s">
        <v>232</v>
      </c>
      <c r="P61" s="30" t="n">
        <f aca="false">INDEX(راهنما!$C$29:$C$38,MATCH($P$57,راهنما!$B$29:$B$38,0))</f>
        <v>0.9</v>
      </c>
    </row>
    <row r="62" customFormat="false" ht="15" hidden="false" customHeight="false" outlineLevel="0" collapsed="false">
      <c r="A62" s="50"/>
      <c r="B62" s="51" t="s">
        <v>236</v>
      </c>
      <c r="C62" s="53" t="n">
        <f aca="false">M57</f>
        <v>0.285714285714286</v>
      </c>
      <c r="D62" s="53" t="n">
        <f aca="false">M58</f>
        <v>0.285714285714286</v>
      </c>
      <c r="E62" s="53" t="n">
        <f aca="false">M59</f>
        <v>0.142857142857143</v>
      </c>
      <c r="F62" s="53" t="n">
        <f aca="false">M60</f>
        <v>0.285714285714286</v>
      </c>
      <c r="O62" s="48" t="s">
        <v>50</v>
      </c>
      <c r="P62" s="41" t="n">
        <f aca="false">IF(ISNUMBER(P60),IF(P61=0,0,MAX(0,P60)/P61),"")</f>
        <v>0</v>
      </c>
    </row>
    <row r="63" customFormat="false" ht="15" hidden="false" customHeight="false" outlineLevel="0" collapsed="false">
      <c r="O63" s="48" t="s">
        <v>83</v>
      </c>
      <c r="P63" s="10" t="str">
        <f aca="false">IF(NOT($P$58=$P$57*($P$57-1)/2),"ناقص",IF(P62&lt;=$P$3,"سازگار","ناسازگار"))</f>
        <v>سازگار</v>
      </c>
    </row>
    <row r="64" customFormat="false" ht="15" hidden="false" customHeight="false" outlineLevel="0" collapsed="false">
      <c r="O64" s="48" t="s">
        <v>233</v>
      </c>
      <c r="P64" s="30" t="n">
        <f aca="false">IF(COUNT(AA57:AA60)=0,"",MAX(AA57:AA60))</f>
        <v>1</v>
      </c>
    </row>
    <row r="65" customFormat="false" ht="15" hidden="false" customHeight="false" outlineLevel="0" collapsed="false">
      <c r="O65" s="48" t="s">
        <v>234</v>
      </c>
      <c r="P65" s="19" t="str">
        <f aca="false">IF(ISNUMBER(P64),INDEX(A57:A60,MATCH(P64,AA57:AA60,0))&amp;" و "&amp;INDEX(C56:F56,MATCH(P64,INDEX(R57:U60,MATCH(P64,AA57:AA60,0),0),0)),"")</f>
        <v>گ۱۱ و گ۱۲</v>
      </c>
    </row>
    <row r="67" customFormat="false" ht="15" hidden="false" customHeight="false" outlineLevel="0" collapsed="false">
      <c r="A67" s="45" t="s">
        <v>241</v>
      </c>
      <c r="B67" s="45"/>
      <c r="C67" s="45"/>
      <c r="D67" s="45"/>
      <c r="E67" s="45"/>
      <c r="F67" s="45"/>
      <c r="G67" s="45"/>
      <c r="H67" s="45"/>
      <c r="I67" s="45"/>
      <c r="J67" s="45"/>
      <c r="K67" s="45"/>
      <c r="L67" s="45"/>
      <c r="M67" s="45"/>
      <c r="Q67" s="46" t="s">
        <v>224</v>
      </c>
      <c r="R67" s="46"/>
      <c r="S67" s="46"/>
      <c r="T67" s="46"/>
      <c r="U67" s="46"/>
      <c r="V67" s="46"/>
      <c r="W67" s="46"/>
      <c r="X67" s="46"/>
      <c r="Y67" s="46"/>
      <c r="Z67" s="46"/>
      <c r="AA67" s="46"/>
    </row>
    <row r="68" customFormat="false" ht="27.75" hidden="false" customHeight="true" outlineLevel="0" collapsed="false">
      <c r="A68" s="8" t="s">
        <v>199</v>
      </c>
      <c r="B68" s="8" t="s">
        <v>225</v>
      </c>
      <c r="C68" s="8" t="s">
        <v>145</v>
      </c>
      <c r="D68" s="8" t="s">
        <v>147</v>
      </c>
      <c r="E68" s="8" t="s">
        <v>149</v>
      </c>
      <c r="F68" s="8" t="s">
        <v>151</v>
      </c>
      <c r="L68" s="7" t="s">
        <v>226</v>
      </c>
      <c r="M68" s="8" t="s">
        <v>227</v>
      </c>
      <c r="Q68" s="8" t="s">
        <v>199</v>
      </c>
      <c r="R68" s="8" t="s">
        <v>145</v>
      </c>
      <c r="S68" s="8" t="s">
        <v>147</v>
      </c>
      <c r="T68" s="8" t="s">
        <v>149</v>
      </c>
      <c r="U68" s="8" t="s">
        <v>151</v>
      </c>
      <c r="AA68" s="47" t="s">
        <v>228</v>
      </c>
    </row>
    <row r="69" customFormat="false" ht="27" hidden="false" customHeight="true" outlineLevel="0" collapsed="false">
      <c r="A69" s="19" t="s">
        <v>145</v>
      </c>
      <c r="B69" s="9" t="s">
        <v>146</v>
      </c>
      <c r="C69" s="31" t="n">
        <v>1</v>
      </c>
      <c r="D69" s="31" t="n">
        <f aca="false">نسبت!J63</f>
        <v>1</v>
      </c>
      <c r="E69" s="31" t="n">
        <f aca="false">نسبت!J64</f>
        <v>1</v>
      </c>
      <c r="F69" s="31" t="n">
        <f aca="false">نسبت!J65</f>
        <v>1</v>
      </c>
      <c r="L69" s="37" t="n">
        <f aca="false">IF($P$70=$P$69*($P$69-1)/2,GEOMEAN(C69:F69),"")</f>
        <v>1</v>
      </c>
      <c r="M69" s="36" t="n">
        <f aca="false">IF($P$70=$P$69*($P$69-1)/2,L69/SUM($L$69:$L$72),"")</f>
        <v>0.25</v>
      </c>
      <c r="O69" s="48" t="s">
        <v>229</v>
      </c>
      <c r="P69" s="11" t="n">
        <f aca="false">ROWS(A69:A72)</f>
        <v>4</v>
      </c>
      <c r="Q69" s="8" t="s">
        <v>145</v>
      </c>
      <c r="S69" s="30" t="n">
        <f aca="false">IF(AND(ISNUMBER(D69),ISNUMBER($M69),ISNUMBER($M70)),MAX(D69*$M70/$M69,$M69/(D69*$M70)),"")</f>
        <v>1</v>
      </c>
      <c r="T69" s="30" t="n">
        <f aca="false">IF(AND(ISNUMBER(E69),ISNUMBER($M69),ISNUMBER($M71)),MAX(E69*$M71/$M69,$M69/(E69*$M71)),"")</f>
        <v>1</v>
      </c>
      <c r="U69" s="30" t="n">
        <f aca="false">IF(AND(ISNUMBER(F69),ISNUMBER($M69),ISNUMBER($M72)),MAX(F69*$M72/$M69,$M69/(F69*$M72)),"")</f>
        <v>1</v>
      </c>
      <c r="AA69" s="49" t="n">
        <f aca="false">IF(COUNT(R69:U69)=0,"",MAX(R69:U69))</f>
        <v>1</v>
      </c>
    </row>
    <row r="70" customFormat="false" ht="27" hidden="false" customHeight="true" outlineLevel="0" collapsed="false">
      <c r="A70" s="19" t="s">
        <v>147</v>
      </c>
      <c r="B70" s="9" t="s">
        <v>148</v>
      </c>
      <c r="C70" s="31" t="n">
        <f aca="false">IF(ISNUMBER(D69),1/D69,"")</f>
        <v>1</v>
      </c>
      <c r="D70" s="31" t="n">
        <v>1</v>
      </c>
      <c r="E70" s="31" t="n">
        <f aca="false">نسبت!J66</f>
        <v>1</v>
      </c>
      <c r="F70" s="31" t="n">
        <f aca="false">نسبت!J67</f>
        <v>1</v>
      </c>
      <c r="L70" s="37" t="n">
        <f aca="false">IF($P$70=$P$69*($P$69-1)/2,GEOMEAN(C70:F70),"")</f>
        <v>1</v>
      </c>
      <c r="M70" s="36" t="n">
        <f aca="false">IF($P$70=$P$69*($P$69-1)/2,L70/SUM($L$69:$L$72),"")</f>
        <v>0.25</v>
      </c>
      <c r="O70" s="48" t="s">
        <v>230</v>
      </c>
      <c r="P70" s="11" t="n">
        <f aca="false">(COUNT(C69:F72)-$P$69)/2</f>
        <v>6</v>
      </c>
      <c r="Q70" s="8" t="s">
        <v>147</v>
      </c>
      <c r="T70" s="30" t="n">
        <f aca="false">IF(AND(ISNUMBER(E70),ISNUMBER($M70),ISNUMBER($M71)),MAX(E70*$M71/$M70,$M70/(E70*$M71)),"")</f>
        <v>1</v>
      </c>
      <c r="U70" s="30" t="n">
        <f aca="false">IF(AND(ISNUMBER(F70),ISNUMBER($M70),ISNUMBER($M72)),MAX(F70*$M72/$M70,$M70/(F70*$M72)),"")</f>
        <v>1</v>
      </c>
      <c r="AA70" s="49" t="n">
        <f aca="false">IF(COUNT(R70:U70)=0,"",MAX(R70:U70))</f>
        <v>1</v>
      </c>
    </row>
    <row r="71" customFormat="false" ht="27" hidden="false" customHeight="true" outlineLevel="0" collapsed="false">
      <c r="A71" s="19" t="s">
        <v>149</v>
      </c>
      <c r="B71" s="9" t="s">
        <v>150</v>
      </c>
      <c r="C71" s="31" t="n">
        <f aca="false">IF(ISNUMBER(E69),1/E69,"")</f>
        <v>1</v>
      </c>
      <c r="D71" s="31" t="n">
        <f aca="false">IF(ISNUMBER(E70),1/E70,"")</f>
        <v>1</v>
      </c>
      <c r="E71" s="31" t="n">
        <v>1</v>
      </c>
      <c r="F71" s="31" t="n">
        <f aca="false">نسبت!J68</f>
        <v>1</v>
      </c>
      <c r="L71" s="37" t="n">
        <f aca="false">IF($P$70=$P$69*($P$69-1)/2,GEOMEAN(C71:F71),"")</f>
        <v>1</v>
      </c>
      <c r="M71" s="36" t="n">
        <f aca="false">IF($P$70=$P$69*($P$69-1)/2,L71/SUM($L$69:$L$72),"")</f>
        <v>0.25</v>
      </c>
      <c r="O71" s="48" t="s">
        <v>231</v>
      </c>
      <c r="P71" s="37" t="n">
        <f aca="false">IF($P$70=$P$69*($P$69-1)/2,SUMPRODUCT(C73:F73,C74:F74),"")</f>
        <v>4</v>
      </c>
      <c r="Q71" s="8" t="s">
        <v>149</v>
      </c>
      <c r="U71" s="30" t="n">
        <f aca="false">IF(AND(ISNUMBER(F71),ISNUMBER($M71),ISNUMBER($M72)),MAX(F71*$M72/$M71,$M71/(F71*$M72)),"")</f>
        <v>1</v>
      </c>
      <c r="AA71" s="49" t="n">
        <f aca="false">IF(COUNT(R71:U71)=0,"",MAX(R71:U71))</f>
        <v>1</v>
      </c>
    </row>
    <row r="72" customFormat="false" ht="27" hidden="false" customHeight="true" outlineLevel="0" collapsed="false">
      <c r="A72" s="19" t="s">
        <v>151</v>
      </c>
      <c r="B72" s="9" t="s">
        <v>152</v>
      </c>
      <c r="C72" s="31" t="n">
        <f aca="false">IF(ISNUMBER(F69),1/F69,"")</f>
        <v>1</v>
      </c>
      <c r="D72" s="31" t="n">
        <f aca="false">IF(ISNUMBER(F70),1/F70,"")</f>
        <v>1</v>
      </c>
      <c r="E72" s="31" t="n">
        <f aca="false">IF(ISNUMBER(F71),1/F71,"")</f>
        <v>1</v>
      </c>
      <c r="F72" s="31" t="n">
        <v>1</v>
      </c>
      <c r="L72" s="37" t="n">
        <f aca="false">IF($P$70=$P$69*($P$69-1)/2,GEOMEAN(C72:F72),"")</f>
        <v>1</v>
      </c>
      <c r="M72" s="36" t="n">
        <f aca="false">IF($P$70=$P$69*($P$69-1)/2,L72/SUM($L$69:$L$72),"")</f>
        <v>0.25</v>
      </c>
      <c r="O72" s="48" t="s">
        <v>48</v>
      </c>
      <c r="P72" s="37" t="n">
        <f aca="false">IF(ISNUMBER(P71),(P71-$P$69)/($P$69-1),"")</f>
        <v>0</v>
      </c>
      <c r="Q72" s="8" t="s">
        <v>151</v>
      </c>
    </row>
    <row r="73" customFormat="false" ht="15" hidden="false" customHeight="false" outlineLevel="0" collapsed="false">
      <c r="A73" s="50"/>
      <c r="B73" s="51" t="s">
        <v>235</v>
      </c>
      <c r="C73" s="52" t="n">
        <f aca="false">IF($P$70=$P$69*($P$69-1)/2,SUM(C69:C72),"")</f>
        <v>4</v>
      </c>
      <c r="D73" s="52" t="n">
        <f aca="false">IF($P$70=$P$69*($P$69-1)/2,SUM(D69:D72),"")</f>
        <v>4</v>
      </c>
      <c r="E73" s="52" t="n">
        <f aca="false">IF($P$70=$P$69*($P$69-1)/2,SUM(E69:E72),"")</f>
        <v>4</v>
      </c>
      <c r="F73" s="52" t="n">
        <f aca="false">IF($P$70=$P$69*($P$69-1)/2,SUM(F69:F72),"")</f>
        <v>4</v>
      </c>
      <c r="M73" s="53" t="n">
        <f aca="false">IF($P$70=$P$69*($P$69-1)/2,SUM(M69:M72),"")</f>
        <v>1</v>
      </c>
      <c r="O73" s="48" t="s">
        <v>232</v>
      </c>
      <c r="P73" s="30" t="n">
        <f aca="false">INDEX(راهنما!$C$29:$C$38,MATCH($P$69,راهنما!$B$29:$B$38,0))</f>
        <v>0.9</v>
      </c>
    </row>
    <row r="74" customFormat="false" ht="15" hidden="false" customHeight="false" outlineLevel="0" collapsed="false">
      <c r="A74" s="50"/>
      <c r="B74" s="51" t="s">
        <v>236</v>
      </c>
      <c r="C74" s="53" t="n">
        <f aca="false">M69</f>
        <v>0.25</v>
      </c>
      <c r="D74" s="53" t="n">
        <f aca="false">M70</f>
        <v>0.25</v>
      </c>
      <c r="E74" s="53" t="n">
        <f aca="false">M71</f>
        <v>0.25</v>
      </c>
      <c r="F74" s="53" t="n">
        <f aca="false">M72</f>
        <v>0.25</v>
      </c>
      <c r="O74" s="48" t="s">
        <v>50</v>
      </c>
      <c r="P74" s="41" t="n">
        <f aca="false">IF(ISNUMBER(P72),IF(P73=0,0,MAX(0,P72)/P73),"")</f>
        <v>0</v>
      </c>
    </row>
    <row r="75" customFormat="false" ht="15" hidden="false" customHeight="false" outlineLevel="0" collapsed="false">
      <c r="O75" s="48" t="s">
        <v>83</v>
      </c>
      <c r="P75" s="10" t="str">
        <f aca="false">IF(NOT($P$70=$P$69*($P$69-1)/2),"ناقص",IF(P74&lt;=$P$3,"سازگار","ناسازگار"))</f>
        <v>سازگار</v>
      </c>
    </row>
    <row r="76" customFormat="false" ht="15" hidden="false" customHeight="false" outlineLevel="0" collapsed="false">
      <c r="O76" s="48" t="s">
        <v>233</v>
      </c>
      <c r="P76" s="30" t="n">
        <f aca="false">IF(COUNT(AA69:AA72)=0,"",MAX(AA69:AA72))</f>
        <v>1</v>
      </c>
    </row>
    <row r="77" customFormat="false" ht="15" hidden="false" customHeight="false" outlineLevel="0" collapsed="false">
      <c r="O77" s="48" t="s">
        <v>234</v>
      </c>
      <c r="P77" s="19" t="str">
        <f aca="false">IF(ISNUMBER(P76),INDEX(A69:A72,MATCH(P76,AA69:AA72,0))&amp;" و "&amp;INDEX(C68:F68,MATCH(P76,INDEX(R69:U72,MATCH(P76,AA69:AA72,0),0),0)),"")</f>
        <v>گ۱۵ و گ۱۶</v>
      </c>
    </row>
    <row r="79" customFormat="false" ht="15" hidden="false" customHeight="false" outlineLevel="0" collapsed="false">
      <c r="A79" s="45" t="s">
        <v>242</v>
      </c>
      <c r="B79" s="45"/>
      <c r="C79" s="45"/>
      <c r="D79" s="45"/>
      <c r="E79" s="45"/>
      <c r="F79" s="45"/>
      <c r="G79" s="45"/>
      <c r="H79" s="45"/>
      <c r="I79" s="45"/>
      <c r="J79" s="45"/>
      <c r="K79" s="45"/>
      <c r="L79" s="45"/>
      <c r="M79" s="45"/>
      <c r="Q79" s="46" t="s">
        <v>224</v>
      </c>
      <c r="R79" s="46"/>
      <c r="S79" s="46"/>
      <c r="T79" s="46"/>
      <c r="U79" s="46"/>
      <c r="V79" s="46"/>
      <c r="W79" s="46"/>
      <c r="X79" s="46"/>
      <c r="Y79" s="46"/>
      <c r="Z79" s="46"/>
      <c r="AA79" s="46"/>
    </row>
    <row r="80" customFormat="false" ht="27.75" hidden="false" customHeight="true" outlineLevel="0" collapsed="false">
      <c r="A80" s="8" t="s">
        <v>199</v>
      </c>
      <c r="B80" s="8" t="s">
        <v>225</v>
      </c>
      <c r="C80" s="8" t="s">
        <v>153</v>
      </c>
      <c r="D80" s="8" t="s">
        <v>155</v>
      </c>
      <c r="E80" s="8" t="s">
        <v>157</v>
      </c>
      <c r="L80" s="7" t="s">
        <v>226</v>
      </c>
      <c r="M80" s="8" t="s">
        <v>227</v>
      </c>
      <c r="Q80" s="8" t="s">
        <v>199</v>
      </c>
      <c r="R80" s="8" t="s">
        <v>153</v>
      </c>
      <c r="S80" s="8" t="s">
        <v>155</v>
      </c>
      <c r="T80" s="8" t="s">
        <v>157</v>
      </c>
      <c r="AA80" s="47" t="s">
        <v>228</v>
      </c>
    </row>
    <row r="81" customFormat="false" ht="27" hidden="false" customHeight="true" outlineLevel="0" collapsed="false">
      <c r="A81" s="19" t="s">
        <v>153</v>
      </c>
      <c r="B81" s="9" t="s">
        <v>154</v>
      </c>
      <c r="C81" s="31" t="n">
        <v>1</v>
      </c>
      <c r="D81" s="31" t="n">
        <f aca="false">نسبت!J69</f>
        <v>2</v>
      </c>
      <c r="E81" s="31" t="n">
        <f aca="false">نسبت!J70</f>
        <v>2</v>
      </c>
      <c r="L81" s="37" t="n">
        <f aca="false">IF($P$82=$P$81*($P$81-1)/2,GEOMEAN(C81:E81),"")</f>
        <v>1.5874010519682</v>
      </c>
      <c r="M81" s="36" t="n">
        <f aca="false">IF($P$82=$P$81*($P$81-1)/2,L81/SUM($L$81:$L$83),"")</f>
        <v>0.5</v>
      </c>
      <c r="O81" s="48" t="s">
        <v>229</v>
      </c>
      <c r="P81" s="11" t="n">
        <f aca="false">ROWS(A81:A83)</f>
        <v>3</v>
      </c>
      <c r="Q81" s="8" t="s">
        <v>153</v>
      </c>
      <c r="S81" s="30" t="n">
        <f aca="false">IF(AND(ISNUMBER(D81),ISNUMBER($M81),ISNUMBER($M82)),MAX(D81*$M82/$M81,$M81/(D81*$M82)),"")</f>
        <v>1</v>
      </c>
      <c r="T81" s="30" t="n">
        <f aca="false">IF(AND(ISNUMBER(E81),ISNUMBER($M81),ISNUMBER($M83)),MAX(E81*$M83/$M81,$M81/(E81*$M83)),"")</f>
        <v>1</v>
      </c>
      <c r="AA81" s="49" t="n">
        <f aca="false">IF(COUNT(R81:T81)=0,"",MAX(R81:T81))</f>
        <v>1</v>
      </c>
    </row>
    <row r="82" customFormat="false" ht="27" hidden="false" customHeight="true" outlineLevel="0" collapsed="false">
      <c r="A82" s="19" t="s">
        <v>155</v>
      </c>
      <c r="B82" s="9" t="s">
        <v>156</v>
      </c>
      <c r="C82" s="31" t="n">
        <f aca="false">IF(ISNUMBER(D81),1/D81,"")</f>
        <v>0.5</v>
      </c>
      <c r="D82" s="31" t="n">
        <v>1</v>
      </c>
      <c r="E82" s="31" t="n">
        <f aca="false">نسبت!J71</f>
        <v>1</v>
      </c>
      <c r="L82" s="37" t="n">
        <f aca="false">IF($P$82=$P$81*($P$81-1)/2,GEOMEAN(C82:E82),"")</f>
        <v>0.7937005259841</v>
      </c>
      <c r="M82" s="36" t="n">
        <f aca="false">IF($P$82=$P$81*($P$81-1)/2,L82/SUM($L$81:$L$83),"")</f>
        <v>0.25</v>
      </c>
      <c r="O82" s="48" t="s">
        <v>230</v>
      </c>
      <c r="P82" s="11" t="n">
        <f aca="false">(COUNT(C81:E83)-$P$81)/2</f>
        <v>3</v>
      </c>
      <c r="Q82" s="8" t="s">
        <v>155</v>
      </c>
      <c r="T82" s="30" t="n">
        <f aca="false">IF(AND(ISNUMBER(E82),ISNUMBER($M82),ISNUMBER($M83)),MAX(E82*$M83/$M82,$M82/(E82*$M83)),"")</f>
        <v>1</v>
      </c>
      <c r="AA82" s="49" t="n">
        <f aca="false">IF(COUNT(R82:T82)=0,"",MAX(R82:T82))</f>
        <v>1</v>
      </c>
    </row>
    <row r="83" customFormat="false" ht="27" hidden="false" customHeight="true" outlineLevel="0" collapsed="false">
      <c r="A83" s="19" t="s">
        <v>157</v>
      </c>
      <c r="B83" s="9" t="s">
        <v>158</v>
      </c>
      <c r="C83" s="31" t="n">
        <f aca="false">IF(ISNUMBER(E81),1/E81,"")</f>
        <v>0.5</v>
      </c>
      <c r="D83" s="31" t="n">
        <f aca="false">IF(ISNUMBER(E82),1/E82,"")</f>
        <v>1</v>
      </c>
      <c r="E83" s="31" t="n">
        <v>1</v>
      </c>
      <c r="L83" s="37" t="n">
        <f aca="false">IF($P$82=$P$81*($P$81-1)/2,GEOMEAN(C83:E83),"")</f>
        <v>0.7937005259841</v>
      </c>
      <c r="M83" s="36" t="n">
        <f aca="false">IF($P$82=$P$81*($P$81-1)/2,L83/SUM($L$81:$L$83),"")</f>
        <v>0.25</v>
      </c>
      <c r="O83" s="48" t="s">
        <v>231</v>
      </c>
      <c r="P83" s="37" t="n">
        <f aca="false">IF($P$82=$P$81*($P$81-1)/2,SUMPRODUCT(C84:E84,C85:E85),"")</f>
        <v>3</v>
      </c>
      <c r="Q83" s="8" t="s">
        <v>157</v>
      </c>
    </row>
    <row r="84" customFormat="false" ht="15" hidden="false" customHeight="false" outlineLevel="0" collapsed="false">
      <c r="A84" s="50"/>
      <c r="B84" s="51" t="s">
        <v>235</v>
      </c>
      <c r="C84" s="52" t="n">
        <f aca="false">IF($P$82=$P$81*($P$81-1)/2,SUM(C81:C83),"")</f>
        <v>2</v>
      </c>
      <c r="D84" s="52" t="n">
        <f aca="false">IF($P$82=$P$81*($P$81-1)/2,SUM(D81:D83),"")</f>
        <v>4</v>
      </c>
      <c r="E84" s="52" t="n">
        <f aca="false">IF($P$82=$P$81*($P$81-1)/2,SUM(E81:E83),"")</f>
        <v>4</v>
      </c>
      <c r="M84" s="53" t="n">
        <f aca="false">IF($P$82=$P$81*($P$81-1)/2,SUM(M81:M83),"")</f>
        <v>1</v>
      </c>
      <c r="O84" s="48" t="s">
        <v>48</v>
      </c>
      <c r="P84" s="37" t="n">
        <f aca="false">IF(ISNUMBER(P83),(P83-$P$81)/($P$81-1),"")</f>
        <v>0</v>
      </c>
    </row>
    <row r="85" customFormat="false" ht="15" hidden="false" customHeight="false" outlineLevel="0" collapsed="false">
      <c r="A85" s="50"/>
      <c r="B85" s="51" t="s">
        <v>236</v>
      </c>
      <c r="C85" s="53" t="n">
        <f aca="false">M81</f>
        <v>0.5</v>
      </c>
      <c r="D85" s="53" t="n">
        <f aca="false">M82</f>
        <v>0.25</v>
      </c>
      <c r="E85" s="53" t="n">
        <f aca="false">M83</f>
        <v>0.25</v>
      </c>
      <c r="O85" s="48" t="s">
        <v>232</v>
      </c>
      <c r="P85" s="30" t="n">
        <f aca="false">INDEX(راهنما!$C$29:$C$38,MATCH($P$81,راهنما!$B$29:$B$38,0))</f>
        <v>0.58</v>
      </c>
    </row>
    <row r="86" customFormat="false" ht="15" hidden="false" customHeight="false" outlineLevel="0" collapsed="false">
      <c r="O86" s="48" t="s">
        <v>50</v>
      </c>
      <c r="P86" s="41" t="n">
        <f aca="false">IF(ISNUMBER(P84),IF(P85=0,0,MAX(0,P84)/P85),"")</f>
        <v>0</v>
      </c>
    </row>
    <row r="87" customFormat="false" ht="15" hidden="false" customHeight="false" outlineLevel="0" collapsed="false">
      <c r="O87" s="48" t="s">
        <v>83</v>
      </c>
      <c r="P87" s="10" t="str">
        <f aca="false">IF(NOT($P$82=$P$81*($P$81-1)/2),"ناقص",IF(P86&lt;=$P$3,"سازگار","ناسازگار"))</f>
        <v>سازگار</v>
      </c>
    </row>
    <row r="88" customFormat="false" ht="15" hidden="false" customHeight="false" outlineLevel="0" collapsed="false">
      <c r="O88" s="48" t="s">
        <v>233</v>
      </c>
      <c r="P88" s="30" t="n">
        <f aca="false">IF(COUNT(AA81:AA83)=0,"",MAX(AA81:AA83))</f>
        <v>1</v>
      </c>
    </row>
    <row r="89" customFormat="false" ht="15" hidden="false" customHeight="false" outlineLevel="0" collapsed="false">
      <c r="O89" s="48" t="s">
        <v>234</v>
      </c>
      <c r="P89" s="19" t="str">
        <f aca="false">IF(ISNUMBER(P88),INDEX(A81:A83,MATCH(P88,AA81:AA83,0))&amp;" و "&amp;INDEX(C80:E80,MATCH(P88,INDEX(R81:T83,MATCH(P88,AA81:AA83,0),0),0)),"")</f>
        <v>گ۱۹ و گ۲۰</v>
      </c>
    </row>
    <row r="91" customFormat="false" ht="15" hidden="false" customHeight="false" outlineLevel="0" collapsed="false">
      <c r="A91" s="45" t="s">
        <v>243</v>
      </c>
      <c r="B91" s="45"/>
      <c r="C91" s="45"/>
      <c r="D91" s="45"/>
      <c r="E91" s="45"/>
      <c r="F91" s="45"/>
      <c r="G91" s="45"/>
      <c r="H91" s="45"/>
      <c r="I91" s="45"/>
      <c r="J91" s="45"/>
      <c r="K91" s="45"/>
      <c r="L91" s="45"/>
      <c r="M91" s="45"/>
      <c r="Q91" s="46" t="s">
        <v>224</v>
      </c>
      <c r="R91" s="46"/>
      <c r="S91" s="46"/>
      <c r="T91" s="46"/>
      <c r="U91" s="46"/>
      <c r="V91" s="46"/>
      <c r="W91" s="46"/>
      <c r="X91" s="46"/>
      <c r="Y91" s="46"/>
      <c r="Z91" s="46"/>
      <c r="AA91" s="46"/>
    </row>
    <row r="92" customFormat="false" ht="27.75" hidden="false" customHeight="true" outlineLevel="0" collapsed="false">
      <c r="A92" s="8" t="s">
        <v>199</v>
      </c>
      <c r="B92" s="8" t="s">
        <v>225</v>
      </c>
      <c r="C92" s="8" t="s">
        <v>159</v>
      </c>
      <c r="D92" s="8" t="s">
        <v>161</v>
      </c>
      <c r="E92" s="8" t="s">
        <v>163</v>
      </c>
      <c r="L92" s="7" t="s">
        <v>226</v>
      </c>
      <c r="M92" s="8" t="s">
        <v>227</v>
      </c>
      <c r="Q92" s="8" t="s">
        <v>199</v>
      </c>
      <c r="R92" s="8" t="s">
        <v>159</v>
      </c>
      <c r="S92" s="8" t="s">
        <v>161</v>
      </c>
      <c r="T92" s="8" t="s">
        <v>163</v>
      </c>
      <c r="AA92" s="47" t="s">
        <v>228</v>
      </c>
    </row>
    <row r="93" customFormat="false" ht="27" hidden="false" customHeight="true" outlineLevel="0" collapsed="false">
      <c r="A93" s="19" t="s">
        <v>159</v>
      </c>
      <c r="B93" s="9" t="s">
        <v>160</v>
      </c>
      <c r="C93" s="31" t="n">
        <v>1</v>
      </c>
      <c r="D93" s="31" t="n">
        <f aca="false">نسبت!J72</f>
        <v>1</v>
      </c>
      <c r="E93" s="31" t="n">
        <f aca="false">نسبت!J73</f>
        <v>2</v>
      </c>
      <c r="L93" s="37" t="n">
        <f aca="false">IF($P$94=$P$93*($P$93-1)/2,GEOMEAN(C93:E93),"")</f>
        <v>1.25992104989487</v>
      </c>
      <c r="M93" s="36" t="n">
        <f aca="false">IF($P$94=$P$93*($P$93-1)/2,L93/SUM($L$93:$L$95),"")</f>
        <v>0.4</v>
      </c>
      <c r="O93" s="48" t="s">
        <v>229</v>
      </c>
      <c r="P93" s="11" t="n">
        <f aca="false">ROWS(A93:A95)</f>
        <v>3</v>
      </c>
      <c r="Q93" s="8" t="s">
        <v>159</v>
      </c>
      <c r="S93" s="30" t="n">
        <f aca="false">IF(AND(ISNUMBER(D93),ISNUMBER($M93),ISNUMBER($M94)),MAX(D93*$M94/$M93,$M93/(D93*$M94)),"")</f>
        <v>1</v>
      </c>
      <c r="T93" s="30" t="n">
        <f aca="false">IF(AND(ISNUMBER(E93),ISNUMBER($M93),ISNUMBER($M95)),MAX(E93*$M95/$M93,$M93/(E93*$M95)),"")</f>
        <v>1</v>
      </c>
      <c r="AA93" s="49" t="n">
        <f aca="false">IF(COUNT(R93:T93)=0,"",MAX(R93:T93))</f>
        <v>1</v>
      </c>
    </row>
    <row r="94" customFormat="false" ht="27" hidden="false" customHeight="true" outlineLevel="0" collapsed="false">
      <c r="A94" s="19" t="s">
        <v>161</v>
      </c>
      <c r="B94" s="9" t="s">
        <v>162</v>
      </c>
      <c r="C94" s="31" t="n">
        <f aca="false">IF(ISNUMBER(D93),1/D93,"")</f>
        <v>1</v>
      </c>
      <c r="D94" s="31" t="n">
        <v>1</v>
      </c>
      <c r="E94" s="31" t="n">
        <f aca="false">نسبت!J74</f>
        <v>2</v>
      </c>
      <c r="L94" s="37" t="n">
        <f aca="false">IF($P$94=$P$93*($P$93-1)/2,GEOMEAN(C94:E94),"")</f>
        <v>1.25992104989487</v>
      </c>
      <c r="M94" s="36" t="n">
        <f aca="false">IF($P$94=$P$93*($P$93-1)/2,L94/SUM($L$93:$L$95),"")</f>
        <v>0.4</v>
      </c>
      <c r="O94" s="48" t="s">
        <v>230</v>
      </c>
      <c r="P94" s="11" t="n">
        <f aca="false">(COUNT(C93:E95)-$P$93)/2</f>
        <v>3</v>
      </c>
      <c r="Q94" s="8" t="s">
        <v>161</v>
      </c>
      <c r="T94" s="30" t="n">
        <f aca="false">IF(AND(ISNUMBER(E94),ISNUMBER($M94),ISNUMBER($M95)),MAX(E94*$M95/$M94,$M94/(E94*$M95)),"")</f>
        <v>1</v>
      </c>
      <c r="AA94" s="49" t="n">
        <f aca="false">IF(COUNT(R94:T94)=0,"",MAX(R94:T94))</f>
        <v>1</v>
      </c>
    </row>
    <row r="95" customFormat="false" ht="27" hidden="false" customHeight="true" outlineLevel="0" collapsed="false">
      <c r="A95" s="19" t="s">
        <v>163</v>
      </c>
      <c r="B95" s="9" t="s">
        <v>164</v>
      </c>
      <c r="C95" s="31" t="n">
        <f aca="false">IF(ISNUMBER(E93),1/E93,"")</f>
        <v>0.5</v>
      </c>
      <c r="D95" s="31" t="n">
        <f aca="false">IF(ISNUMBER(E94),1/E94,"")</f>
        <v>0.5</v>
      </c>
      <c r="E95" s="31" t="n">
        <v>1</v>
      </c>
      <c r="L95" s="37" t="n">
        <f aca="false">IF($P$94=$P$93*($P$93-1)/2,GEOMEAN(C95:E95),"")</f>
        <v>0.629960524947437</v>
      </c>
      <c r="M95" s="36" t="n">
        <f aca="false">IF($P$94=$P$93*($P$93-1)/2,L95/SUM($L$93:$L$95),"")</f>
        <v>0.2</v>
      </c>
      <c r="O95" s="48" t="s">
        <v>231</v>
      </c>
      <c r="P95" s="37" t="n">
        <f aca="false">IF($P$94=$P$93*($P$93-1)/2,SUMPRODUCT(C96:E96,C97:E97),"")</f>
        <v>3</v>
      </c>
      <c r="Q95" s="8" t="s">
        <v>163</v>
      </c>
    </row>
    <row r="96" customFormat="false" ht="15" hidden="false" customHeight="false" outlineLevel="0" collapsed="false">
      <c r="A96" s="50"/>
      <c r="B96" s="51" t="s">
        <v>235</v>
      </c>
      <c r="C96" s="52" t="n">
        <f aca="false">IF($P$94=$P$93*($P$93-1)/2,SUM(C93:C95),"")</f>
        <v>2.5</v>
      </c>
      <c r="D96" s="52" t="n">
        <f aca="false">IF($P$94=$P$93*($P$93-1)/2,SUM(D93:D95),"")</f>
        <v>2.5</v>
      </c>
      <c r="E96" s="52" t="n">
        <f aca="false">IF($P$94=$P$93*($P$93-1)/2,SUM(E93:E95),"")</f>
        <v>5</v>
      </c>
      <c r="M96" s="53" t="n">
        <f aca="false">IF($P$94=$P$93*($P$93-1)/2,SUM(M93:M95),"")</f>
        <v>1</v>
      </c>
      <c r="O96" s="48" t="s">
        <v>48</v>
      </c>
      <c r="P96" s="37" t="n">
        <f aca="false">IF(ISNUMBER(P95),(P95-$P$93)/($P$93-1),"")</f>
        <v>0</v>
      </c>
    </row>
    <row r="97" customFormat="false" ht="15" hidden="false" customHeight="false" outlineLevel="0" collapsed="false">
      <c r="A97" s="50"/>
      <c r="B97" s="51" t="s">
        <v>236</v>
      </c>
      <c r="C97" s="53" t="n">
        <f aca="false">M93</f>
        <v>0.4</v>
      </c>
      <c r="D97" s="53" t="n">
        <f aca="false">M94</f>
        <v>0.4</v>
      </c>
      <c r="E97" s="53" t="n">
        <f aca="false">M95</f>
        <v>0.2</v>
      </c>
      <c r="O97" s="48" t="s">
        <v>232</v>
      </c>
      <c r="P97" s="30" t="n">
        <f aca="false">INDEX(راهنما!$C$29:$C$38,MATCH($P$93,راهنما!$B$29:$B$38,0))</f>
        <v>0.58</v>
      </c>
    </row>
    <row r="98" customFormat="false" ht="15" hidden="false" customHeight="false" outlineLevel="0" collapsed="false">
      <c r="O98" s="48" t="s">
        <v>50</v>
      </c>
      <c r="P98" s="41" t="n">
        <f aca="false">IF(ISNUMBER(P96),IF(P97=0,0,MAX(0,P96)/P97),"")</f>
        <v>0</v>
      </c>
    </row>
    <row r="99" customFormat="false" ht="15" hidden="false" customHeight="false" outlineLevel="0" collapsed="false">
      <c r="O99" s="48" t="s">
        <v>83</v>
      </c>
      <c r="P99" s="10" t="str">
        <f aca="false">IF(NOT($P$94=$P$93*($P$93-1)/2),"ناقص",IF(P98&lt;=$P$3,"سازگار","ناسازگار"))</f>
        <v>سازگار</v>
      </c>
    </row>
    <row r="100" customFormat="false" ht="15" hidden="false" customHeight="false" outlineLevel="0" collapsed="false">
      <c r="O100" s="48" t="s">
        <v>233</v>
      </c>
      <c r="P100" s="30" t="n">
        <f aca="false">IF(COUNT(AA93:AA95)=0,"",MAX(AA93:AA95))</f>
        <v>1</v>
      </c>
    </row>
    <row r="101" customFormat="false" ht="15" hidden="false" customHeight="false" outlineLevel="0" collapsed="false">
      <c r="O101" s="48" t="s">
        <v>234</v>
      </c>
      <c r="P101" s="19" t="str">
        <f aca="false">IF(ISNUMBER(P100),INDEX(A93:A95,MATCH(P100,AA93:AA95,0))&amp;" و "&amp;INDEX(C92:E92,MATCH(P100,INDEX(R93:T95,MATCH(P100,AA93:AA95,0),0),0)),"")</f>
        <v>گ۲۲ و گ۲۳</v>
      </c>
    </row>
    <row r="103" customFormat="false" ht="15" hidden="false" customHeight="false" outlineLevel="0" collapsed="false">
      <c r="A103" s="45" t="s">
        <v>244</v>
      </c>
      <c r="B103" s="45"/>
      <c r="C103" s="45"/>
      <c r="D103" s="45"/>
      <c r="E103" s="45"/>
      <c r="F103" s="45"/>
      <c r="G103" s="45"/>
      <c r="H103" s="45"/>
      <c r="I103" s="45"/>
      <c r="J103" s="45"/>
      <c r="K103" s="45"/>
      <c r="L103" s="45"/>
      <c r="M103" s="45"/>
      <c r="Q103" s="46" t="s">
        <v>224</v>
      </c>
      <c r="R103" s="46"/>
      <c r="S103" s="46"/>
      <c r="T103" s="46"/>
      <c r="U103" s="46"/>
      <c r="V103" s="46"/>
      <c r="W103" s="46"/>
      <c r="X103" s="46"/>
      <c r="Y103" s="46"/>
      <c r="Z103" s="46"/>
      <c r="AA103" s="46"/>
    </row>
    <row r="104" customFormat="false" ht="27.75" hidden="false" customHeight="true" outlineLevel="0" collapsed="false">
      <c r="A104" s="8" t="s">
        <v>199</v>
      </c>
      <c r="B104" s="8" t="s">
        <v>225</v>
      </c>
      <c r="C104" s="8" t="s">
        <v>165</v>
      </c>
      <c r="D104" s="8" t="s">
        <v>167</v>
      </c>
      <c r="E104" s="8" t="s">
        <v>169</v>
      </c>
      <c r="L104" s="7" t="s">
        <v>226</v>
      </c>
      <c r="M104" s="8" t="s">
        <v>227</v>
      </c>
      <c r="Q104" s="8" t="s">
        <v>199</v>
      </c>
      <c r="R104" s="8" t="s">
        <v>165</v>
      </c>
      <c r="S104" s="8" t="s">
        <v>167</v>
      </c>
      <c r="T104" s="8" t="s">
        <v>169</v>
      </c>
      <c r="AA104" s="47" t="s">
        <v>228</v>
      </c>
    </row>
    <row r="105" customFormat="false" ht="27" hidden="false" customHeight="true" outlineLevel="0" collapsed="false">
      <c r="A105" s="19" t="s">
        <v>165</v>
      </c>
      <c r="B105" s="9" t="s">
        <v>166</v>
      </c>
      <c r="C105" s="31" t="n">
        <v>1</v>
      </c>
      <c r="D105" s="31" t="n">
        <f aca="false">نسبت!J75</f>
        <v>2</v>
      </c>
      <c r="E105" s="31" t="n">
        <f aca="false">نسبت!J76</f>
        <v>2</v>
      </c>
      <c r="L105" s="37" t="n">
        <f aca="false">IF($P$106=$P$105*($P$105-1)/2,GEOMEAN(C105:E105),"")</f>
        <v>1.5874010519682</v>
      </c>
      <c r="M105" s="36" t="n">
        <f aca="false">IF($P$106=$P$105*($P$105-1)/2,L105/SUM($L$105:$L$107),"")</f>
        <v>0.5</v>
      </c>
      <c r="O105" s="48" t="s">
        <v>229</v>
      </c>
      <c r="P105" s="11" t="n">
        <f aca="false">ROWS(A105:A107)</f>
        <v>3</v>
      </c>
      <c r="Q105" s="8" t="s">
        <v>165</v>
      </c>
      <c r="S105" s="30" t="n">
        <f aca="false">IF(AND(ISNUMBER(D105),ISNUMBER($M105),ISNUMBER($M106)),MAX(D105*$M106/$M105,$M105/(D105*$M106)),"")</f>
        <v>1</v>
      </c>
      <c r="T105" s="30" t="n">
        <f aca="false">IF(AND(ISNUMBER(E105),ISNUMBER($M105),ISNUMBER($M107)),MAX(E105*$M107/$M105,$M105/(E105*$M107)),"")</f>
        <v>1</v>
      </c>
      <c r="AA105" s="49" t="n">
        <f aca="false">IF(COUNT(R105:T105)=0,"",MAX(R105:T105))</f>
        <v>1</v>
      </c>
    </row>
    <row r="106" customFormat="false" ht="27" hidden="false" customHeight="true" outlineLevel="0" collapsed="false">
      <c r="A106" s="19" t="s">
        <v>167</v>
      </c>
      <c r="B106" s="9" t="s">
        <v>168</v>
      </c>
      <c r="C106" s="31" t="n">
        <f aca="false">IF(ISNUMBER(D105),1/D105,"")</f>
        <v>0.5</v>
      </c>
      <c r="D106" s="31" t="n">
        <v>1</v>
      </c>
      <c r="E106" s="31" t="n">
        <f aca="false">نسبت!J77</f>
        <v>1</v>
      </c>
      <c r="L106" s="37" t="n">
        <f aca="false">IF($P$106=$P$105*($P$105-1)/2,GEOMEAN(C106:E106),"")</f>
        <v>0.7937005259841</v>
      </c>
      <c r="M106" s="36" t="n">
        <f aca="false">IF($P$106=$P$105*($P$105-1)/2,L106/SUM($L$105:$L$107),"")</f>
        <v>0.25</v>
      </c>
      <c r="O106" s="48" t="s">
        <v>230</v>
      </c>
      <c r="P106" s="11" t="n">
        <f aca="false">(COUNT(C105:E107)-$P$105)/2</f>
        <v>3</v>
      </c>
      <c r="Q106" s="8" t="s">
        <v>167</v>
      </c>
      <c r="T106" s="30" t="n">
        <f aca="false">IF(AND(ISNUMBER(E106),ISNUMBER($M106),ISNUMBER($M107)),MAX(E106*$M107/$M106,$M106/(E106*$M107)),"")</f>
        <v>1</v>
      </c>
      <c r="AA106" s="49" t="n">
        <f aca="false">IF(COUNT(R106:T106)=0,"",MAX(R106:T106))</f>
        <v>1</v>
      </c>
    </row>
    <row r="107" customFormat="false" ht="27" hidden="false" customHeight="true" outlineLevel="0" collapsed="false">
      <c r="A107" s="19" t="s">
        <v>169</v>
      </c>
      <c r="B107" s="9" t="s">
        <v>170</v>
      </c>
      <c r="C107" s="31" t="n">
        <f aca="false">IF(ISNUMBER(E105),1/E105,"")</f>
        <v>0.5</v>
      </c>
      <c r="D107" s="31" t="n">
        <f aca="false">IF(ISNUMBER(E106),1/E106,"")</f>
        <v>1</v>
      </c>
      <c r="E107" s="31" t="n">
        <v>1</v>
      </c>
      <c r="L107" s="37" t="n">
        <f aca="false">IF($P$106=$P$105*($P$105-1)/2,GEOMEAN(C107:E107),"")</f>
        <v>0.7937005259841</v>
      </c>
      <c r="M107" s="36" t="n">
        <f aca="false">IF($P$106=$P$105*($P$105-1)/2,L107/SUM($L$105:$L$107),"")</f>
        <v>0.25</v>
      </c>
      <c r="O107" s="48" t="s">
        <v>231</v>
      </c>
      <c r="P107" s="37" t="n">
        <f aca="false">IF($P$106=$P$105*($P$105-1)/2,SUMPRODUCT(C108:E108,C109:E109),"")</f>
        <v>3</v>
      </c>
      <c r="Q107" s="8" t="s">
        <v>169</v>
      </c>
    </row>
    <row r="108" customFormat="false" ht="15" hidden="false" customHeight="false" outlineLevel="0" collapsed="false">
      <c r="A108" s="50"/>
      <c r="B108" s="51" t="s">
        <v>235</v>
      </c>
      <c r="C108" s="52" t="n">
        <f aca="false">IF($P$106=$P$105*($P$105-1)/2,SUM(C105:C107),"")</f>
        <v>2</v>
      </c>
      <c r="D108" s="52" t="n">
        <f aca="false">IF($P$106=$P$105*($P$105-1)/2,SUM(D105:D107),"")</f>
        <v>4</v>
      </c>
      <c r="E108" s="52" t="n">
        <f aca="false">IF($P$106=$P$105*($P$105-1)/2,SUM(E105:E107),"")</f>
        <v>4</v>
      </c>
      <c r="M108" s="53" t="n">
        <f aca="false">IF($P$106=$P$105*($P$105-1)/2,SUM(M105:M107),"")</f>
        <v>1</v>
      </c>
      <c r="O108" s="48" t="s">
        <v>48</v>
      </c>
      <c r="P108" s="37" t="n">
        <f aca="false">IF(ISNUMBER(P107),(P107-$P$105)/($P$105-1),"")</f>
        <v>0</v>
      </c>
    </row>
    <row r="109" customFormat="false" ht="15" hidden="false" customHeight="false" outlineLevel="0" collapsed="false">
      <c r="A109" s="50"/>
      <c r="B109" s="51" t="s">
        <v>236</v>
      </c>
      <c r="C109" s="53" t="n">
        <f aca="false">M105</f>
        <v>0.5</v>
      </c>
      <c r="D109" s="53" t="n">
        <f aca="false">M106</f>
        <v>0.25</v>
      </c>
      <c r="E109" s="53" t="n">
        <f aca="false">M107</f>
        <v>0.25</v>
      </c>
      <c r="O109" s="48" t="s">
        <v>232</v>
      </c>
      <c r="P109" s="30" t="n">
        <f aca="false">INDEX(راهنما!$C$29:$C$38,MATCH($P$105,راهنما!$B$29:$B$38,0))</f>
        <v>0.58</v>
      </c>
    </row>
    <row r="110" customFormat="false" ht="15" hidden="false" customHeight="false" outlineLevel="0" collapsed="false">
      <c r="O110" s="48" t="s">
        <v>50</v>
      </c>
      <c r="P110" s="41" t="n">
        <f aca="false">IF(ISNUMBER(P108),IF(P109=0,0,MAX(0,P108)/P109),"")</f>
        <v>0</v>
      </c>
    </row>
    <row r="111" customFormat="false" ht="15" hidden="false" customHeight="false" outlineLevel="0" collapsed="false">
      <c r="O111" s="48" t="s">
        <v>83</v>
      </c>
      <c r="P111" s="10" t="str">
        <f aca="false">IF(NOT($P$106=$P$105*($P$105-1)/2),"ناقص",IF(P110&lt;=$P$3,"سازگار","ناسازگار"))</f>
        <v>سازگار</v>
      </c>
    </row>
    <row r="112" customFormat="false" ht="15" hidden="false" customHeight="false" outlineLevel="0" collapsed="false">
      <c r="O112" s="48" t="s">
        <v>233</v>
      </c>
      <c r="P112" s="30" t="n">
        <f aca="false">IF(COUNT(AA105:AA107)=0,"",MAX(AA105:AA107))</f>
        <v>1</v>
      </c>
    </row>
    <row r="113" customFormat="false" ht="15" hidden="false" customHeight="false" outlineLevel="0" collapsed="false">
      <c r="O113" s="48" t="s">
        <v>234</v>
      </c>
      <c r="P113" s="19" t="str">
        <f aca="false">IF(ISNUMBER(P112),INDEX(A105:A107,MATCH(P112,AA105:AA107,0))&amp;" و "&amp;INDEX(C104:E104,MATCH(P112,INDEX(R105:T107,MATCH(P112,AA105:AA107,0),0),0)),"")</f>
        <v>گ۲۵ و گ۲۶</v>
      </c>
    </row>
    <row r="115" customFormat="false" ht="15" hidden="false" customHeight="false" outlineLevel="0" collapsed="false">
      <c r="A115" s="45" t="s">
        <v>245</v>
      </c>
      <c r="B115" s="45"/>
      <c r="C115" s="45"/>
      <c r="D115" s="45"/>
      <c r="E115" s="45"/>
      <c r="F115" s="45"/>
      <c r="G115" s="45"/>
      <c r="H115" s="45"/>
      <c r="I115" s="45"/>
      <c r="J115" s="45"/>
      <c r="K115" s="45"/>
      <c r="L115" s="45"/>
      <c r="M115" s="45"/>
      <c r="Q115" s="46" t="s">
        <v>224</v>
      </c>
      <c r="R115" s="46"/>
      <c r="S115" s="46"/>
      <c r="T115" s="46"/>
      <c r="U115" s="46"/>
      <c r="V115" s="46"/>
      <c r="W115" s="46"/>
      <c r="X115" s="46"/>
      <c r="Y115" s="46"/>
      <c r="Z115" s="46"/>
      <c r="AA115" s="46"/>
    </row>
    <row r="116" customFormat="false" ht="27.75" hidden="false" customHeight="true" outlineLevel="0" collapsed="false">
      <c r="A116" s="8" t="s">
        <v>199</v>
      </c>
      <c r="B116" s="8" t="s">
        <v>225</v>
      </c>
      <c r="C116" s="8" t="s">
        <v>171</v>
      </c>
      <c r="D116" s="8" t="s">
        <v>173</v>
      </c>
      <c r="L116" s="7" t="s">
        <v>226</v>
      </c>
      <c r="M116" s="8" t="s">
        <v>227</v>
      </c>
      <c r="Q116" s="8" t="s">
        <v>199</v>
      </c>
      <c r="R116" s="8" t="s">
        <v>171</v>
      </c>
      <c r="S116" s="8" t="s">
        <v>173</v>
      </c>
      <c r="AA116" s="47" t="s">
        <v>228</v>
      </c>
    </row>
    <row r="117" customFormat="false" ht="27" hidden="false" customHeight="true" outlineLevel="0" collapsed="false">
      <c r="A117" s="19" t="s">
        <v>171</v>
      </c>
      <c r="B117" s="9" t="s">
        <v>172</v>
      </c>
      <c r="C117" s="31" t="n">
        <v>1</v>
      </c>
      <c r="D117" s="31" t="n">
        <f aca="false">نسبت!J78</f>
        <v>2</v>
      </c>
      <c r="L117" s="37" t="n">
        <f aca="false">IF($P$118=$P$117*($P$117-1)/2,GEOMEAN(C117:D117),"")</f>
        <v>1.4142135623731</v>
      </c>
      <c r="M117" s="36" t="n">
        <f aca="false">IF($P$118=$P$117*($P$117-1)/2,L117/SUM($L$117:$L$118),"")</f>
        <v>0.666666666666667</v>
      </c>
      <c r="O117" s="48" t="s">
        <v>229</v>
      </c>
      <c r="P117" s="11" t="n">
        <f aca="false">ROWS(A117:A118)</f>
        <v>2</v>
      </c>
      <c r="Q117" s="8" t="s">
        <v>171</v>
      </c>
      <c r="S117" s="30" t="n">
        <f aca="false">IF(AND(ISNUMBER(D117),ISNUMBER($M117),ISNUMBER($M118)),MAX(D117*$M118/$M117,$M117/(D117*$M118)),"")</f>
        <v>1</v>
      </c>
      <c r="AA117" s="49" t="n">
        <f aca="false">IF(COUNT(R117:S117)=0,"",MAX(R117:S117))</f>
        <v>1</v>
      </c>
    </row>
    <row r="118" customFormat="false" ht="27" hidden="false" customHeight="true" outlineLevel="0" collapsed="false">
      <c r="A118" s="19" t="s">
        <v>173</v>
      </c>
      <c r="B118" s="9" t="s">
        <v>174</v>
      </c>
      <c r="C118" s="31" t="n">
        <f aca="false">IF(ISNUMBER(D117),1/D117,"")</f>
        <v>0.5</v>
      </c>
      <c r="D118" s="31" t="n">
        <v>1</v>
      </c>
      <c r="L118" s="37" t="n">
        <f aca="false">IF($P$118=$P$117*($P$117-1)/2,GEOMEAN(C118:D118),"")</f>
        <v>0.707106781186548</v>
      </c>
      <c r="M118" s="36" t="n">
        <f aca="false">IF($P$118=$P$117*($P$117-1)/2,L118/SUM($L$117:$L$118),"")</f>
        <v>0.333333333333333</v>
      </c>
      <c r="O118" s="48" t="s">
        <v>230</v>
      </c>
      <c r="P118" s="11" t="n">
        <f aca="false">(COUNT(C117:D118)-$P$117)/2</f>
        <v>1</v>
      </c>
      <c r="Q118" s="8" t="s">
        <v>173</v>
      </c>
    </row>
    <row r="119" customFormat="false" ht="15" hidden="false" customHeight="false" outlineLevel="0" collapsed="false">
      <c r="A119" s="50"/>
      <c r="B119" s="51" t="s">
        <v>235</v>
      </c>
      <c r="C119" s="52" t="n">
        <f aca="false">IF($P$118=$P$117*($P$117-1)/2,SUM(C117:C118),"")</f>
        <v>1.5</v>
      </c>
      <c r="D119" s="52" t="n">
        <f aca="false">IF($P$118=$P$117*($P$117-1)/2,SUM(D117:D118),"")</f>
        <v>3</v>
      </c>
      <c r="M119" s="53" t="n">
        <f aca="false">IF($P$118=$P$117*($P$117-1)/2,SUM(M117:M118),"")</f>
        <v>1</v>
      </c>
      <c r="O119" s="48" t="s">
        <v>231</v>
      </c>
      <c r="P119" s="37" t="n">
        <f aca="false">IF($P$118=$P$117*($P$117-1)/2,SUMPRODUCT(C119:D119,C120:D120),"")</f>
        <v>2</v>
      </c>
    </row>
    <row r="120" customFormat="false" ht="15" hidden="false" customHeight="false" outlineLevel="0" collapsed="false">
      <c r="A120" s="50"/>
      <c r="B120" s="51" t="s">
        <v>236</v>
      </c>
      <c r="C120" s="53" t="n">
        <f aca="false">M117</f>
        <v>0.666666666666667</v>
      </c>
      <c r="D120" s="53" t="n">
        <f aca="false">M118</f>
        <v>0.333333333333333</v>
      </c>
      <c r="O120" s="48" t="s">
        <v>48</v>
      </c>
      <c r="P120" s="37" t="n">
        <f aca="false">IF(ISNUMBER(P119),(P119-$P$117)/($P$117-1),"")</f>
        <v>0</v>
      </c>
    </row>
    <row r="121" customFormat="false" ht="15" hidden="false" customHeight="false" outlineLevel="0" collapsed="false">
      <c r="O121" s="48" t="s">
        <v>232</v>
      </c>
      <c r="P121" s="30" t="n">
        <f aca="false">INDEX(راهنما!$C$29:$C$38,MATCH($P$117,راهنما!$B$29:$B$38,0))</f>
        <v>0</v>
      </c>
    </row>
    <row r="122" customFormat="false" ht="15" hidden="false" customHeight="false" outlineLevel="0" collapsed="false">
      <c r="O122" s="48" t="s">
        <v>50</v>
      </c>
      <c r="P122" s="41" t="n">
        <f aca="false">IF(ISNUMBER(P120),IF(P121=0,0,MAX(0,P120)/P121),"")</f>
        <v>0</v>
      </c>
    </row>
    <row r="123" customFormat="false" ht="15" hidden="false" customHeight="false" outlineLevel="0" collapsed="false">
      <c r="O123" s="48" t="s">
        <v>83</v>
      </c>
      <c r="P123" s="10" t="str">
        <f aca="false">IF(NOT($P$118=$P$117*($P$117-1)/2),"ناقص",IF(P122&lt;=$P$3,"سازگار","ناسازگار"))</f>
        <v>سازگار</v>
      </c>
    </row>
    <row r="124" customFormat="false" ht="15" hidden="false" customHeight="false" outlineLevel="0" collapsed="false">
      <c r="O124" s="48" t="s">
        <v>233</v>
      </c>
      <c r="P124" s="30" t="n">
        <f aca="false">IF(COUNT(AA117:AA118)=0,"",MAX(AA117:AA118))</f>
        <v>1</v>
      </c>
    </row>
    <row r="125" customFormat="false" ht="15" hidden="false" customHeight="false" outlineLevel="0" collapsed="false">
      <c r="O125" s="48" t="s">
        <v>234</v>
      </c>
      <c r="P125" s="19" t="str">
        <f aca="false">IF(ISNUMBER(P124),INDEX(A117:A118,MATCH(P124,AA117:AA118,0))&amp;" و "&amp;INDEX(C116:D116,MATCH(P124,INDEX(R117:S118,MATCH(P124,AA117:AA118,0),0),0)),"")</f>
        <v>گ۲۸ و گ۲۹</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255</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2" t="s">
        <v>256</v>
      </c>
    </row>
    <row r="3" customFormat="false" ht="15" hidden="false" customHeight="false" outlineLevel="0" collapsed="false">
      <c r="A3" s="43" t="s">
        <v>248</v>
      </c>
      <c r="B3" s="54" t="n">
        <f aca="false">COUNT(ورودی!K9:K78)</f>
        <v>70</v>
      </c>
      <c r="O3" s="25" t="s">
        <v>177</v>
      </c>
      <c r="P3" s="30" t="n">
        <f aca="false">راهنما!$C$26</f>
        <v>0.1</v>
      </c>
    </row>
    <row r="5" customFormat="false" ht="15" hidden="false" customHeight="false" outlineLevel="0" collapsed="false">
      <c r="A5" s="45" t="s">
        <v>223</v>
      </c>
      <c r="B5" s="45"/>
      <c r="C5" s="45"/>
      <c r="D5" s="45"/>
      <c r="E5" s="45"/>
      <c r="F5" s="45"/>
      <c r="G5" s="45"/>
      <c r="H5" s="45"/>
      <c r="I5" s="45"/>
      <c r="J5" s="45"/>
      <c r="K5" s="45"/>
      <c r="L5" s="45"/>
      <c r="M5" s="45"/>
      <c r="Q5" s="46" t="s">
        <v>224</v>
      </c>
      <c r="R5" s="46"/>
      <c r="S5" s="46"/>
      <c r="T5" s="46"/>
      <c r="U5" s="46"/>
      <c r="V5" s="46"/>
      <c r="W5" s="46"/>
      <c r="X5" s="46"/>
      <c r="Y5" s="46"/>
      <c r="Z5" s="46"/>
      <c r="AA5" s="46"/>
    </row>
    <row r="6" customFormat="false" ht="27.75" hidden="false" customHeight="true" outlineLevel="0" collapsed="false">
      <c r="A6" s="8" t="s">
        <v>199</v>
      </c>
      <c r="B6" s="8" t="s">
        <v>225</v>
      </c>
      <c r="C6" s="8" t="s">
        <v>98</v>
      </c>
      <c r="D6" s="8" t="s">
        <v>100</v>
      </c>
      <c r="E6" s="8" t="s">
        <v>102</v>
      </c>
      <c r="F6" s="8" t="s">
        <v>104</v>
      </c>
      <c r="G6" s="8" t="s">
        <v>106</v>
      </c>
      <c r="H6" s="8" t="s">
        <v>108</v>
      </c>
      <c r="I6" s="8" t="s">
        <v>110</v>
      </c>
      <c r="J6" s="8" t="s">
        <v>112</v>
      </c>
      <c r="K6" s="8" t="s">
        <v>114</v>
      </c>
      <c r="L6" s="7" t="s">
        <v>226</v>
      </c>
      <c r="M6" s="8" t="s">
        <v>227</v>
      </c>
      <c r="Q6" s="8" t="s">
        <v>199</v>
      </c>
      <c r="R6" s="8" t="s">
        <v>98</v>
      </c>
      <c r="S6" s="8" t="s">
        <v>100</v>
      </c>
      <c r="T6" s="8" t="s">
        <v>102</v>
      </c>
      <c r="U6" s="8" t="s">
        <v>104</v>
      </c>
      <c r="V6" s="8" t="s">
        <v>106</v>
      </c>
      <c r="W6" s="8" t="s">
        <v>108</v>
      </c>
      <c r="X6" s="8" t="s">
        <v>110</v>
      </c>
      <c r="Y6" s="8" t="s">
        <v>112</v>
      </c>
      <c r="Z6" s="8" t="s">
        <v>114</v>
      </c>
      <c r="AA6" s="47" t="s">
        <v>228</v>
      </c>
    </row>
    <row r="7" customFormat="false" ht="27" hidden="false" customHeight="true" outlineLevel="0" collapsed="false">
      <c r="A7" s="19" t="s">
        <v>98</v>
      </c>
      <c r="B7" s="9" t="s">
        <v>99</v>
      </c>
      <c r="C7" s="31" t="n">
        <v>1</v>
      </c>
      <c r="D7" s="31" t="n">
        <f aca="false">نسبت!K9</f>
        <v>1</v>
      </c>
      <c r="E7" s="31" t="n">
        <f aca="false">نسبت!K10</f>
        <v>1</v>
      </c>
      <c r="F7" s="31" t="n">
        <f aca="false">نسبت!K11</f>
        <v>1</v>
      </c>
      <c r="G7" s="31" t="n">
        <f aca="false">نسبت!K12</f>
        <v>1</v>
      </c>
      <c r="H7" s="31" t="n">
        <f aca="false">نسبت!K13</f>
        <v>1</v>
      </c>
      <c r="I7" s="31" t="n">
        <f aca="false">نسبت!K14</f>
        <v>1</v>
      </c>
      <c r="J7" s="31" t="n">
        <f aca="false">نسبت!K15</f>
        <v>1</v>
      </c>
      <c r="K7" s="31" t="n">
        <f aca="false">نسبت!K16</f>
        <v>0.5</v>
      </c>
      <c r="L7" s="37" t="n">
        <f aca="false">IF($P$8=$P$7*($P$7-1)/2,GEOMEAN(C7:K7),"")</f>
        <v>0.925874712287291</v>
      </c>
      <c r="M7" s="36" t="n">
        <f aca="false">IF($P$8=$P$7*($P$7-1)/2,L7/SUM($L$7:$L$15),"")</f>
        <v>0.100514452758483</v>
      </c>
      <c r="O7" s="48" t="s">
        <v>229</v>
      </c>
      <c r="P7" s="11" t="n">
        <f aca="false">ROWS(A7:A15)</f>
        <v>9</v>
      </c>
      <c r="Q7" s="8" t="s">
        <v>98</v>
      </c>
      <c r="S7" s="30" t="n">
        <f aca="false">IF(AND(ISNUMBER(D7),ISNUMBER($M7),ISNUMBER($M8)),MAX(D7*$M8/$M7,$M7/(D7*$M8)),"")</f>
        <v>1.16652903957612</v>
      </c>
      <c r="T7" s="30" t="n">
        <f aca="false">IF(AND(ISNUMBER(E7),ISNUMBER($M7),ISNUMBER($M9)),MAX(E7*$M9/$M7,$M7/(E7*$M9)),"")</f>
        <v>1</v>
      </c>
      <c r="U7" s="30" t="n">
        <f aca="false">IF(AND(ISNUMBER(F7),ISNUMBER($M7),ISNUMBER($M10)),MAX(F7*$M10/$M7,$M7/(F7*$M10)),"")</f>
        <v>1.16652903957612</v>
      </c>
      <c r="V7" s="30" t="n">
        <f aca="false">IF(AND(ISNUMBER(G7),ISNUMBER($M7),ISNUMBER($M11)),MAX(G7*$M11/$M7,$M7/(G7*$M11)),"")</f>
        <v>1.25992104989487</v>
      </c>
      <c r="W7" s="30" t="n">
        <f aca="false">IF(AND(ISNUMBER(H7),ISNUMBER($M7),ISNUMBER($M12)),MAX(H7*$M12/$M7,$M7/(H7*$M12)),"")</f>
        <v>1.25992104989487</v>
      </c>
      <c r="X7" s="30" t="n">
        <f aca="false">IF(AND(ISNUMBER(I7),ISNUMBER($M7),ISNUMBER($M13)),MAX(I7*$M13/$M7,$M7/(I7*$M13)),"")</f>
        <v>1</v>
      </c>
      <c r="Y7" s="30" t="n">
        <f aca="false">IF(AND(ISNUMBER(J7),ISNUMBER($M7),ISNUMBER($M14)),MAX(J7*$M14/$M7,$M7/(J7*$M14)),"")</f>
        <v>1</v>
      </c>
      <c r="Z7" s="30" t="n">
        <f aca="false">IF(AND(ISNUMBER(K7),ISNUMBER($M7),ISNUMBER($M15)),MAX(K7*$M15/$M7,$M7/(K7*$M15)),"")</f>
        <v>1.16652903957612</v>
      </c>
      <c r="AA7" s="49" t="n">
        <f aca="false">IF(COUNT(R7:Z7)=0,"",MAX(R7:Z7))</f>
        <v>1.25992104989487</v>
      </c>
    </row>
    <row r="8" customFormat="false" ht="27" hidden="false" customHeight="true" outlineLevel="0" collapsed="false">
      <c r="A8" s="19" t="s">
        <v>100</v>
      </c>
      <c r="B8" s="9" t="s">
        <v>101</v>
      </c>
      <c r="C8" s="31" t="n">
        <f aca="false">IF(ISNUMBER(D7),1/D7,"")</f>
        <v>1</v>
      </c>
      <c r="D8" s="31" t="n">
        <v>1</v>
      </c>
      <c r="E8" s="31" t="n">
        <f aca="false">نسبت!K17</f>
        <v>1</v>
      </c>
      <c r="F8" s="31" t="n">
        <f aca="false">نسبت!K18</f>
        <v>1</v>
      </c>
      <c r="G8" s="31" t="n">
        <f aca="false">نسبت!K19</f>
        <v>0.5</v>
      </c>
      <c r="H8" s="31" t="n">
        <f aca="false">نسبت!K20</f>
        <v>0.5</v>
      </c>
      <c r="I8" s="31" t="n">
        <f aca="false">نسبت!K21</f>
        <v>1</v>
      </c>
      <c r="J8" s="31" t="n">
        <f aca="false">نسبت!K22</f>
        <v>1</v>
      </c>
      <c r="K8" s="31" t="n">
        <f aca="false">نسبت!K23</f>
        <v>0.5</v>
      </c>
      <c r="L8" s="37" t="n">
        <f aca="false">IF($P$8=$P$7*($P$7-1)/2,GEOMEAN(C8:K8),"")</f>
        <v>0.7937005259841</v>
      </c>
      <c r="M8" s="36" t="n">
        <f aca="false">IF($P$8=$P$7*($P$7-1)/2,L8/SUM($L$7:$L$15),"")</f>
        <v>0.0861654098169789</v>
      </c>
      <c r="O8" s="48" t="s">
        <v>230</v>
      </c>
      <c r="P8" s="11" t="n">
        <f aca="false">(COUNT(C7:K15)-$P$7)/2</f>
        <v>36</v>
      </c>
      <c r="Q8" s="8" t="s">
        <v>100</v>
      </c>
      <c r="T8" s="30" t="n">
        <f aca="false">IF(AND(ISNUMBER(E8),ISNUMBER($M8),ISNUMBER($M9)),MAX(E8*$M9/$M8,$M8/(E8*$M9)),"")</f>
        <v>1.16652903957612</v>
      </c>
      <c r="U8" s="30" t="n">
        <f aca="false">IF(AND(ISNUMBER(F8),ISNUMBER($M8),ISNUMBER($M10)),MAX(F8*$M10/$M8,$M8/(F8*$M10)),"")</f>
        <v>1</v>
      </c>
      <c r="V8" s="30" t="n">
        <f aca="false">IF(AND(ISNUMBER(G8),ISNUMBER($M8),ISNUMBER($M11)),MAX(G8*$M11/$M8,$M8/(G8*$M11)),"")</f>
        <v>1.36079000017438</v>
      </c>
      <c r="W8" s="30" t="n">
        <f aca="false">IF(AND(ISNUMBER(H8),ISNUMBER($M8),ISNUMBER($M12)),MAX(H8*$M12/$M8,$M8/(H8*$M12)),"")</f>
        <v>1.36079000017438</v>
      </c>
      <c r="X8" s="30" t="n">
        <f aca="false">IF(AND(ISNUMBER(I8),ISNUMBER($M8),ISNUMBER($M13)),MAX(I8*$M13/$M8,$M8/(I8*$M13)),"")</f>
        <v>1.16652903957612</v>
      </c>
      <c r="Y8" s="30" t="n">
        <f aca="false">IF(AND(ISNUMBER(J8),ISNUMBER($M8),ISNUMBER($M14)),MAX(J8*$M14/$M8,$M8/(J8*$M14)),"")</f>
        <v>1.16652903957612</v>
      </c>
      <c r="Z8" s="30" t="n">
        <f aca="false">IF(AND(ISNUMBER(K8),ISNUMBER($M8),ISNUMBER($M15)),MAX(K8*$M15/$M8,$M8/(K8*$M15)),"")</f>
        <v>1</v>
      </c>
      <c r="AA8" s="49" t="n">
        <f aca="false">IF(COUNT(R8:Z8)=0,"",MAX(R8:Z8))</f>
        <v>1.36079000017438</v>
      </c>
    </row>
    <row r="9" customFormat="false" ht="27" hidden="false" customHeight="true" outlineLevel="0" collapsed="false">
      <c r="A9" s="19" t="s">
        <v>102</v>
      </c>
      <c r="B9" s="9" t="s">
        <v>103</v>
      </c>
      <c r="C9" s="31" t="n">
        <f aca="false">IF(ISNUMBER(E7),1/E7,"")</f>
        <v>1</v>
      </c>
      <c r="D9" s="31" t="n">
        <f aca="false">IF(ISNUMBER(E8),1/E8,"")</f>
        <v>1</v>
      </c>
      <c r="E9" s="31" t="n">
        <v>1</v>
      </c>
      <c r="F9" s="31" t="n">
        <f aca="false">نسبت!K24</f>
        <v>1</v>
      </c>
      <c r="G9" s="31" t="n">
        <f aca="false">نسبت!K25</f>
        <v>1</v>
      </c>
      <c r="H9" s="31" t="n">
        <f aca="false">نسبت!K26</f>
        <v>1</v>
      </c>
      <c r="I9" s="31" t="n">
        <f aca="false">نسبت!K27</f>
        <v>1</v>
      </c>
      <c r="J9" s="31" t="n">
        <f aca="false">نسبت!K28</f>
        <v>1</v>
      </c>
      <c r="K9" s="31" t="n">
        <f aca="false">نسبت!K29</f>
        <v>0.5</v>
      </c>
      <c r="L9" s="37" t="n">
        <f aca="false">IF($P$8=$P$7*($P$7-1)/2,GEOMEAN(C9:K9),"")</f>
        <v>0.925874712287291</v>
      </c>
      <c r="M9" s="36" t="n">
        <f aca="false">IF($P$8=$P$7*($P$7-1)/2,L9/SUM($L$7:$L$15),"")</f>
        <v>0.100514452758483</v>
      </c>
      <c r="O9" s="48" t="s">
        <v>231</v>
      </c>
      <c r="P9" s="37" t="n">
        <f aca="false">IF($P$8=$P$7*($P$7-1)/2,SUMPRODUCT(C16:K16,C17:K17),"")</f>
        <v>9.14877726133578</v>
      </c>
      <c r="Q9" s="8" t="s">
        <v>102</v>
      </c>
      <c r="U9" s="30" t="n">
        <f aca="false">IF(AND(ISNUMBER(F9),ISNUMBER($M9),ISNUMBER($M10)),MAX(F9*$M10/$M9,$M9/(F9*$M10)),"")</f>
        <v>1.16652903957612</v>
      </c>
      <c r="V9" s="30" t="n">
        <f aca="false">IF(AND(ISNUMBER(G9),ISNUMBER($M9),ISNUMBER($M11)),MAX(G9*$M11/$M9,$M9/(G9*$M11)),"")</f>
        <v>1.25992104989487</v>
      </c>
      <c r="W9" s="30" t="n">
        <f aca="false">IF(AND(ISNUMBER(H9),ISNUMBER($M9),ISNUMBER($M12)),MAX(H9*$M12/$M9,$M9/(H9*$M12)),"")</f>
        <v>1.25992104989487</v>
      </c>
      <c r="X9" s="30" t="n">
        <f aca="false">IF(AND(ISNUMBER(I9),ISNUMBER($M9),ISNUMBER($M13)),MAX(I9*$M13/$M9,$M9/(I9*$M13)),"")</f>
        <v>1</v>
      </c>
      <c r="Y9" s="30" t="n">
        <f aca="false">IF(AND(ISNUMBER(J9),ISNUMBER($M9),ISNUMBER($M14)),MAX(J9*$M14/$M9,$M9/(J9*$M14)),"")</f>
        <v>1</v>
      </c>
      <c r="Z9" s="30" t="n">
        <f aca="false">IF(AND(ISNUMBER(K9),ISNUMBER($M9),ISNUMBER($M15)),MAX(K9*$M15/$M9,$M9/(K9*$M15)),"")</f>
        <v>1.16652903957612</v>
      </c>
      <c r="AA9" s="49" t="n">
        <f aca="false">IF(COUNT(R9:Z9)=0,"",MAX(R9:Z9))</f>
        <v>1.25992104989487</v>
      </c>
    </row>
    <row r="10" customFormat="false" ht="27" hidden="false" customHeight="true" outlineLevel="0" collapsed="false">
      <c r="A10" s="19" t="s">
        <v>104</v>
      </c>
      <c r="B10" s="9" t="s">
        <v>105</v>
      </c>
      <c r="C10" s="31" t="n">
        <f aca="false">IF(ISNUMBER(F7),1/F7,"")</f>
        <v>1</v>
      </c>
      <c r="D10" s="31" t="n">
        <f aca="false">IF(ISNUMBER(F8),1/F8,"")</f>
        <v>1</v>
      </c>
      <c r="E10" s="31" t="n">
        <f aca="false">IF(ISNUMBER(F9),1/F9,"")</f>
        <v>1</v>
      </c>
      <c r="F10" s="31" t="n">
        <v>1</v>
      </c>
      <c r="G10" s="31" t="n">
        <f aca="false">نسبت!K30</f>
        <v>0.5</v>
      </c>
      <c r="H10" s="31" t="n">
        <f aca="false">نسبت!K31</f>
        <v>0.5</v>
      </c>
      <c r="I10" s="31" t="n">
        <f aca="false">نسبت!K32</f>
        <v>1</v>
      </c>
      <c r="J10" s="31" t="n">
        <f aca="false">نسبت!K33</f>
        <v>1</v>
      </c>
      <c r="K10" s="31" t="n">
        <f aca="false">نسبت!K34</f>
        <v>0.5</v>
      </c>
      <c r="L10" s="37" t="n">
        <f aca="false">IF($P$8=$P$7*($P$7-1)/2,GEOMEAN(C10:K10),"")</f>
        <v>0.7937005259841</v>
      </c>
      <c r="M10" s="36" t="n">
        <f aca="false">IF($P$8=$P$7*($P$7-1)/2,L10/SUM($L$7:$L$15),"")</f>
        <v>0.0861654098169789</v>
      </c>
      <c r="O10" s="48" t="s">
        <v>48</v>
      </c>
      <c r="P10" s="37" t="n">
        <f aca="false">IF(ISNUMBER(P9),(P9-$P$7)/($P$7-1),"")</f>
        <v>0.0185971576669723</v>
      </c>
      <c r="Q10" s="8" t="s">
        <v>104</v>
      </c>
      <c r="V10" s="30" t="n">
        <f aca="false">IF(AND(ISNUMBER(G10),ISNUMBER($M10),ISNUMBER($M11)),MAX(G10*$M11/$M10,$M10/(G10*$M11)),"")</f>
        <v>1.36079000017438</v>
      </c>
      <c r="W10" s="30" t="n">
        <f aca="false">IF(AND(ISNUMBER(H10),ISNUMBER($M10),ISNUMBER($M12)),MAX(H10*$M12/$M10,$M10/(H10*$M12)),"")</f>
        <v>1.36079000017438</v>
      </c>
      <c r="X10" s="30" t="n">
        <f aca="false">IF(AND(ISNUMBER(I10),ISNUMBER($M10),ISNUMBER($M13)),MAX(I10*$M13/$M10,$M10/(I10*$M13)),"")</f>
        <v>1.16652903957612</v>
      </c>
      <c r="Y10" s="30" t="n">
        <f aca="false">IF(AND(ISNUMBER(J10),ISNUMBER($M10),ISNUMBER($M14)),MAX(J10*$M14/$M10,$M10/(J10*$M14)),"")</f>
        <v>1.16652903957612</v>
      </c>
      <c r="Z10" s="30" t="n">
        <f aca="false">IF(AND(ISNUMBER(K10),ISNUMBER($M10),ISNUMBER($M15)),MAX(K10*$M15/$M10,$M10/(K10*$M15)),"")</f>
        <v>1</v>
      </c>
      <c r="AA10" s="49" t="n">
        <f aca="false">IF(COUNT(R10:Z10)=0,"",MAX(R10:Z10))</f>
        <v>1.36079000017438</v>
      </c>
    </row>
    <row r="11" customFormat="false" ht="27" hidden="false" customHeight="true" outlineLevel="0" collapsed="false">
      <c r="A11" s="19" t="s">
        <v>106</v>
      </c>
      <c r="B11" s="9" t="s">
        <v>107</v>
      </c>
      <c r="C11" s="31" t="n">
        <f aca="false">IF(ISNUMBER(G7),1/G7,"")</f>
        <v>1</v>
      </c>
      <c r="D11" s="31" t="n">
        <f aca="false">IF(ISNUMBER(G8),1/G8,"")</f>
        <v>2</v>
      </c>
      <c r="E11" s="31" t="n">
        <f aca="false">IF(ISNUMBER(G9),1/G9,"")</f>
        <v>1</v>
      </c>
      <c r="F11" s="31" t="n">
        <f aca="false">IF(ISNUMBER(G10),1/G10,"")</f>
        <v>2</v>
      </c>
      <c r="G11" s="31" t="n">
        <v>1</v>
      </c>
      <c r="H11" s="31" t="n">
        <f aca="false">نسبت!K35</f>
        <v>1</v>
      </c>
      <c r="I11" s="31" t="n">
        <f aca="false">نسبت!K36</f>
        <v>1</v>
      </c>
      <c r="J11" s="31" t="n">
        <f aca="false">نسبت!K37</f>
        <v>1</v>
      </c>
      <c r="K11" s="31" t="n">
        <f aca="false">نسبت!K38</f>
        <v>1</v>
      </c>
      <c r="L11" s="37" t="n">
        <f aca="false">IF($P$8=$P$7*($P$7-1)/2,GEOMEAN(C11:K11),"")</f>
        <v>1.16652903957612</v>
      </c>
      <c r="M11" s="36" t="n">
        <f aca="false">IF($P$8=$P$7*($P$7-1)/2,L11/SUM($L$7:$L$15),"")</f>
        <v>0.126640274849076</v>
      </c>
      <c r="O11" s="48" t="s">
        <v>232</v>
      </c>
      <c r="P11" s="30" t="n">
        <f aca="false">INDEX(راهنما!$C$29:$C$38,MATCH($P$7,راهنما!$B$29:$B$38,0))</f>
        <v>1.45</v>
      </c>
      <c r="Q11" s="8" t="s">
        <v>106</v>
      </c>
      <c r="W11" s="30" t="n">
        <f aca="false">IF(AND(ISNUMBER(H11),ISNUMBER($M11),ISNUMBER($M12)),MAX(H11*$M12/$M11,$M11/(H11*$M12)),"")</f>
        <v>1</v>
      </c>
      <c r="X11" s="30" t="n">
        <f aca="false">IF(AND(ISNUMBER(I11),ISNUMBER($M11),ISNUMBER($M13)),MAX(I11*$M13/$M11,$M11/(I11*$M13)),"")</f>
        <v>1.25992104989487</v>
      </c>
      <c r="Y11" s="30" t="n">
        <f aca="false">IF(AND(ISNUMBER(J11),ISNUMBER($M11),ISNUMBER($M14)),MAX(J11*$M14/$M11,$M11/(J11*$M14)),"")</f>
        <v>1.25992104989487</v>
      </c>
      <c r="Z11" s="30" t="n">
        <f aca="false">IF(AND(ISNUMBER(K11),ISNUMBER($M11),ISNUMBER($M15)),MAX(K11*$M15/$M11,$M11/(K11*$M15)),"")</f>
        <v>1.36079000017438</v>
      </c>
      <c r="AA11" s="49" t="n">
        <f aca="false">IF(COUNT(R11:Z11)=0,"",MAX(R11:Z11))</f>
        <v>1.36079000017438</v>
      </c>
    </row>
    <row r="12" customFormat="false" ht="27" hidden="false" customHeight="true" outlineLevel="0" collapsed="false">
      <c r="A12" s="19" t="s">
        <v>108</v>
      </c>
      <c r="B12" s="9" t="s">
        <v>109</v>
      </c>
      <c r="C12" s="31" t="n">
        <f aca="false">IF(ISNUMBER(H7),1/H7,"")</f>
        <v>1</v>
      </c>
      <c r="D12" s="31" t="n">
        <f aca="false">IF(ISNUMBER(H8),1/H8,"")</f>
        <v>2</v>
      </c>
      <c r="E12" s="31" t="n">
        <f aca="false">IF(ISNUMBER(H9),1/H9,"")</f>
        <v>1</v>
      </c>
      <c r="F12" s="31" t="n">
        <f aca="false">IF(ISNUMBER(H10),1/H10,"")</f>
        <v>2</v>
      </c>
      <c r="G12" s="31" t="n">
        <f aca="false">IF(ISNUMBER(H11),1/H11,"")</f>
        <v>1</v>
      </c>
      <c r="H12" s="31" t="n">
        <v>1</v>
      </c>
      <c r="I12" s="31" t="n">
        <f aca="false">نسبت!K39</f>
        <v>1</v>
      </c>
      <c r="J12" s="31" t="n">
        <f aca="false">نسبت!K40</f>
        <v>1</v>
      </c>
      <c r="K12" s="31" t="n">
        <f aca="false">نسبت!K41</f>
        <v>1</v>
      </c>
      <c r="L12" s="37" t="n">
        <f aca="false">IF($P$8=$P$7*($P$7-1)/2,GEOMEAN(C12:K12),"")</f>
        <v>1.16652903957612</v>
      </c>
      <c r="M12" s="36" t="n">
        <f aca="false">IF($P$8=$P$7*($P$7-1)/2,L12/SUM($L$7:$L$15),"")</f>
        <v>0.126640274849076</v>
      </c>
      <c r="O12" s="48" t="s">
        <v>50</v>
      </c>
      <c r="P12" s="41" t="n">
        <f aca="false">IF(ISNUMBER(P10),IF(P11=0,0,MAX(0,P10)/P11),"")</f>
        <v>0.0128256259772223</v>
      </c>
      <c r="Q12" s="8" t="s">
        <v>108</v>
      </c>
      <c r="X12" s="30" t="n">
        <f aca="false">IF(AND(ISNUMBER(I12),ISNUMBER($M12),ISNUMBER($M13)),MAX(I12*$M13/$M12,$M12/(I12*$M13)),"")</f>
        <v>1.25992104989487</v>
      </c>
      <c r="Y12" s="30" t="n">
        <f aca="false">IF(AND(ISNUMBER(J12),ISNUMBER($M12),ISNUMBER($M14)),MAX(J12*$M14/$M12,$M12/(J12*$M14)),"")</f>
        <v>1.25992104989487</v>
      </c>
      <c r="Z12" s="30" t="n">
        <f aca="false">IF(AND(ISNUMBER(K12),ISNUMBER($M12),ISNUMBER($M15)),MAX(K12*$M15/$M12,$M12/(K12*$M15)),"")</f>
        <v>1.36079000017438</v>
      </c>
      <c r="AA12" s="49" t="n">
        <f aca="false">IF(COUNT(R12:Z12)=0,"",MAX(R12:Z12))</f>
        <v>1.36079000017438</v>
      </c>
    </row>
    <row r="13" customFormat="false" ht="27" hidden="false" customHeight="true" outlineLevel="0" collapsed="false">
      <c r="A13" s="19" t="s">
        <v>110</v>
      </c>
      <c r="B13" s="9" t="s">
        <v>111</v>
      </c>
      <c r="C13" s="31" t="n">
        <f aca="false">IF(ISNUMBER(I7),1/I7,"")</f>
        <v>1</v>
      </c>
      <c r="D13" s="31" t="n">
        <f aca="false">IF(ISNUMBER(I8),1/I8,"")</f>
        <v>1</v>
      </c>
      <c r="E13" s="31" t="n">
        <f aca="false">IF(ISNUMBER(I9),1/I9,"")</f>
        <v>1</v>
      </c>
      <c r="F13" s="31" t="n">
        <f aca="false">IF(ISNUMBER(I10),1/I10,"")</f>
        <v>1</v>
      </c>
      <c r="G13" s="31" t="n">
        <f aca="false">IF(ISNUMBER(I11),1/I11,"")</f>
        <v>1</v>
      </c>
      <c r="H13" s="31" t="n">
        <f aca="false">IF(ISNUMBER(I12),1/I12,"")</f>
        <v>1</v>
      </c>
      <c r="I13" s="31" t="n">
        <v>1</v>
      </c>
      <c r="J13" s="31" t="n">
        <f aca="false">نسبت!K42</f>
        <v>1</v>
      </c>
      <c r="K13" s="31" t="n">
        <f aca="false">نسبت!K43</f>
        <v>0.5</v>
      </c>
      <c r="L13" s="37" t="n">
        <f aca="false">IF($P$8=$P$7*($P$7-1)/2,GEOMEAN(C13:K13),"")</f>
        <v>0.925874712287291</v>
      </c>
      <c r="M13" s="36" t="n">
        <f aca="false">IF($P$8=$P$7*($P$7-1)/2,L13/SUM($L$7:$L$15),"")</f>
        <v>0.100514452758483</v>
      </c>
      <c r="O13" s="48" t="s">
        <v>83</v>
      </c>
      <c r="P13" s="10" t="str">
        <f aca="false">IF(NOT($P$8=$P$7*($P$7-1)/2),"ناقص",IF(P12&lt;=$P$3,"سازگار","ناسازگار"))</f>
        <v>سازگار</v>
      </c>
      <c r="Q13" s="8" t="s">
        <v>110</v>
      </c>
      <c r="Y13" s="30" t="n">
        <f aca="false">IF(AND(ISNUMBER(J13),ISNUMBER($M13),ISNUMBER($M14)),MAX(J13*$M14/$M13,$M13/(J13*$M14)),"")</f>
        <v>1</v>
      </c>
      <c r="Z13" s="30" t="n">
        <f aca="false">IF(AND(ISNUMBER(K13),ISNUMBER($M13),ISNUMBER($M15)),MAX(K13*$M15/$M13,$M13/(K13*$M15)),"")</f>
        <v>1.16652903957612</v>
      </c>
      <c r="AA13" s="49" t="n">
        <f aca="false">IF(COUNT(R13:Z13)=0,"",MAX(R13:Z13))</f>
        <v>1.16652903957612</v>
      </c>
    </row>
    <row r="14" customFormat="false" ht="27" hidden="false" customHeight="true" outlineLevel="0" collapsed="false">
      <c r="A14" s="19" t="s">
        <v>112</v>
      </c>
      <c r="B14" s="9" t="s">
        <v>113</v>
      </c>
      <c r="C14" s="31" t="n">
        <f aca="false">IF(ISNUMBER(J7),1/J7,"")</f>
        <v>1</v>
      </c>
      <c r="D14" s="31" t="n">
        <f aca="false">IF(ISNUMBER(J8),1/J8,"")</f>
        <v>1</v>
      </c>
      <c r="E14" s="31" t="n">
        <f aca="false">IF(ISNUMBER(J9),1/J9,"")</f>
        <v>1</v>
      </c>
      <c r="F14" s="31" t="n">
        <f aca="false">IF(ISNUMBER(J10),1/J10,"")</f>
        <v>1</v>
      </c>
      <c r="G14" s="31" t="n">
        <f aca="false">IF(ISNUMBER(J11),1/J11,"")</f>
        <v>1</v>
      </c>
      <c r="H14" s="31" t="n">
        <f aca="false">IF(ISNUMBER(J12),1/J12,"")</f>
        <v>1</v>
      </c>
      <c r="I14" s="31" t="n">
        <f aca="false">IF(ISNUMBER(J13),1/J13,"")</f>
        <v>1</v>
      </c>
      <c r="J14" s="31" t="n">
        <v>1</v>
      </c>
      <c r="K14" s="31" t="n">
        <f aca="false">نسبت!K44</f>
        <v>0.5</v>
      </c>
      <c r="L14" s="37" t="n">
        <f aca="false">IF($P$8=$P$7*($P$7-1)/2,GEOMEAN(C14:K14),"")</f>
        <v>0.925874712287291</v>
      </c>
      <c r="M14" s="36" t="n">
        <f aca="false">IF($P$8=$P$7*($P$7-1)/2,L14/SUM($L$7:$L$15),"")</f>
        <v>0.100514452758483</v>
      </c>
      <c r="O14" s="48" t="s">
        <v>233</v>
      </c>
      <c r="P14" s="30" t="n">
        <f aca="false">IF(COUNT(AA7:AA15)=0,"",MAX(AA7:AA15))</f>
        <v>1.36079000017438</v>
      </c>
      <c r="Q14" s="8" t="s">
        <v>112</v>
      </c>
      <c r="Z14" s="30" t="n">
        <f aca="false">IF(AND(ISNUMBER(K14),ISNUMBER($M14),ISNUMBER($M15)),MAX(K14*$M15/$M14,$M14/(K14*$M15)),"")</f>
        <v>1.16652903957612</v>
      </c>
      <c r="AA14" s="49" t="n">
        <f aca="false">IF(COUNT(R14:Z14)=0,"",MAX(R14:Z14))</f>
        <v>1.16652903957612</v>
      </c>
    </row>
    <row r="15" customFormat="false" ht="27" hidden="false" customHeight="true" outlineLevel="0" collapsed="false">
      <c r="A15" s="19" t="s">
        <v>114</v>
      </c>
      <c r="B15" s="9" t="s">
        <v>115</v>
      </c>
      <c r="C15" s="31" t="n">
        <f aca="false">IF(ISNUMBER(K7),1/K7,"")</f>
        <v>2</v>
      </c>
      <c r="D15" s="31" t="n">
        <f aca="false">IF(ISNUMBER(K8),1/K8,"")</f>
        <v>2</v>
      </c>
      <c r="E15" s="31" t="n">
        <f aca="false">IF(ISNUMBER(K9),1/K9,"")</f>
        <v>2</v>
      </c>
      <c r="F15" s="31" t="n">
        <f aca="false">IF(ISNUMBER(K10),1/K10,"")</f>
        <v>2</v>
      </c>
      <c r="G15" s="31" t="n">
        <f aca="false">IF(ISNUMBER(K11),1/K11,"")</f>
        <v>1</v>
      </c>
      <c r="H15" s="31" t="n">
        <f aca="false">IF(ISNUMBER(K12),1/K12,"")</f>
        <v>1</v>
      </c>
      <c r="I15" s="31" t="n">
        <f aca="false">IF(ISNUMBER(K13),1/K13,"")</f>
        <v>2</v>
      </c>
      <c r="J15" s="31" t="n">
        <f aca="false">IF(ISNUMBER(K14),1/K14,"")</f>
        <v>2</v>
      </c>
      <c r="K15" s="31" t="n">
        <v>1</v>
      </c>
      <c r="L15" s="37" t="n">
        <f aca="false">IF($P$8=$P$7*($P$7-1)/2,GEOMEAN(C15:K15),"")</f>
        <v>1.5874010519682</v>
      </c>
      <c r="M15" s="36" t="n">
        <f aca="false">IF($P$8=$P$7*($P$7-1)/2,L15/SUM($L$7:$L$15),"")</f>
        <v>0.172330819633958</v>
      </c>
      <c r="O15" s="48" t="s">
        <v>234</v>
      </c>
      <c r="P15" s="19" t="str">
        <f aca="false">IF(ISNUMBER(P14),INDEX(A7:A15,MATCH(P14,AA7:AA15,0))&amp;" و "&amp;INDEX(C6:K6,MATCH(P14,INDEX(R7:Z15,MATCH(P14,AA7:AA15,0),0),0)),"")</f>
        <v>م۲ و م۵</v>
      </c>
      <c r="Q15" s="8" t="s">
        <v>114</v>
      </c>
    </row>
    <row r="16" customFormat="false" ht="15" hidden="false" customHeight="false" outlineLevel="0" collapsed="false">
      <c r="A16" s="50"/>
      <c r="B16" s="51" t="s">
        <v>235</v>
      </c>
      <c r="C16" s="52" t="n">
        <f aca="false">IF($P$8=$P$7*($P$7-1)/2,SUM(C7:C15),"")</f>
        <v>10</v>
      </c>
      <c r="D16" s="52" t="n">
        <f aca="false">IF($P$8=$P$7*($P$7-1)/2,SUM(D7:D15),"")</f>
        <v>12</v>
      </c>
      <c r="E16" s="52" t="n">
        <f aca="false">IF($P$8=$P$7*($P$7-1)/2,SUM(E7:E15),"")</f>
        <v>10</v>
      </c>
      <c r="F16" s="52" t="n">
        <f aca="false">IF($P$8=$P$7*($P$7-1)/2,SUM(F7:F15),"")</f>
        <v>12</v>
      </c>
      <c r="G16" s="52" t="n">
        <f aca="false">IF($P$8=$P$7*($P$7-1)/2,SUM(G7:G15),"")</f>
        <v>8</v>
      </c>
      <c r="H16" s="52" t="n">
        <f aca="false">IF($P$8=$P$7*($P$7-1)/2,SUM(H7:H15),"")</f>
        <v>8</v>
      </c>
      <c r="I16" s="52" t="n">
        <f aca="false">IF($P$8=$P$7*($P$7-1)/2,SUM(I7:I15),"")</f>
        <v>10</v>
      </c>
      <c r="J16" s="52" t="n">
        <f aca="false">IF($P$8=$P$7*($P$7-1)/2,SUM(J7:J15),"")</f>
        <v>10</v>
      </c>
      <c r="K16" s="52" t="n">
        <f aca="false">IF($P$8=$P$7*($P$7-1)/2,SUM(K7:K15),"")</f>
        <v>6</v>
      </c>
      <c r="M16" s="53" t="n">
        <f aca="false">IF($P$8=$P$7*($P$7-1)/2,SUM(M7:M15),"")</f>
        <v>1</v>
      </c>
    </row>
    <row r="17" customFormat="false" ht="15" hidden="false" customHeight="false" outlineLevel="0" collapsed="false">
      <c r="A17" s="50"/>
      <c r="B17" s="51" t="s">
        <v>236</v>
      </c>
      <c r="C17" s="53" t="n">
        <f aca="false">M7</f>
        <v>0.100514452758483</v>
      </c>
      <c r="D17" s="53" t="n">
        <f aca="false">M8</f>
        <v>0.0861654098169789</v>
      </c>
      <c r="E17" s="53" t="n">
        <f aca="false">M9</f>
        <v>0.100514452758483</v>
      </c>
      <c r="F17" s="53" t="n">
        <f aca="false">M10</f>
        <v>0.0861654098169789</v>
      </c>
      <c r="G17" s="53" t="n">
        <f aca="false">M11</f>
        <v>0.126640274849076</v>
      </c>
      <c r="H17" s="53" t="n">
        <f aca="false">M12</f>
        <v>0.126640274849076</v>
      </c>
      <c r="I17" s="53" t="n">
        <f aca="false">M13</f>
        <v>0.100514452758483</v>
      </c>
      <c r="J17" s="53" t="n">
        <f aca="false">M14</f>
        <v>0.100514452758483</v>
      </c>
      <c r="K17" s="53" t="n">
        <f aca="false">M15</f>
        <v>0.172330819633958</v>
      </c>
    </row>
    <row r="19" customFormat="false" ht="15" hidden="false" customHeight="false" outlineLevel="0" collapsed="false">
      <c r="A19" s="45" t="s">
        <v>237</v>
      </c>
      <c r="B19" s="45"/>
      <c r="C19" s="45"/>
      <c r="D19" s="45"/>
      <c r="E19" s="45"/>
      <c r="F19" s="45"/>
      <c r="G19" s="45"/>
      <c r="H19" s="45"/>
      <c r="I19" s="45"/>
      <c r="J19" s="45"/>
      <c r="K19" s="45"/>
      <c r="L19" s="45"/>
      <c r="M19" s="45"/>
      <c r="Q19" s="46" t="s">
        <v>224</v>
      </c>
      <c r="R19" s="46"/>
      <c r="S19" s="46"/>
      <c r="T19" s="46"/>
      <c r="U19" s="46"/>
      <c r="V19" s="46"/>
      <c r="W19" s="46"/>
      <c r="X19" s="46"/>
      <c r="Y19" s="46"/>
      <c r="Z19" s="46"/>
      <c r="AA19" s="46"/>
    </row>
    <row r="20" customFormat="false" ht="27.75" hidden="false" customHeight="true" outlineLevel="0" collapsed="false">
      <c r="A20" s="8" t="s">
        <v>199</v>
      </c>
      <c r="B20" s="8" t="s">
        <v>225</v>
      </c>
      <c r="C20" s="8" t="s">
        <v>117</v>
      </c>
      <c r="D20" s="8" t="s">
        <v>119</v>
      </c>
      <c r="E20" s="8" t="s">
        <v>121</v>
      </c>
      <c r="L20" s="7" t="s">
        <v>226</v>
      </c>
      <c r="M20" s="8" t="s">
        <v>227</v>
      </c>
      <c r="Q20" s="8" t="s">
        <v>199</v>
      </c>
      <c r="R20" s="8" t="s">
        <v>117</v>
      </c>
      <c r="S20" s="8" t="s">
        <v>119</v>
      </c>
      <c r="T20" s="8" t="s">
        <v>121</v>
      </c>
      <c r="AA20" s="47" t="s">
        <v>228</v>
      </c>
    </row>
    <row r="21" customFormat="false" ht="27" hidden="false" customHeight="true" outlineLevel="0" collapsed="false">
      <c r="A21" s="19" t="s">
        <v>117</v>
      </c>
      <c r="B21" s="9" t="s">
        <v>118</v>
      </c>
      <c r="C21" s="31" t="n">
        <v>1</v>
      </c>
      <c r="D21" s="31" t="n">
        <f aca="false">نسبت!K45</f>
        <v>1</v>
      </c>
      <c r="E21" s="31" t="n">
        <f aca="false">نسبت!K46</f>
        <v>1</v>
      </c>
      <c r="L21" s="37" t="n">
        <f aca="false">IF($P$22=$P$21*($P$21-1)/2,GEOMEAN(C21:E21),"")</f>
        <v>1</v>
      </c>
      <c r="M21" s="36" t="n">
        <f aca="false">IF($P$22=$P$21*($P$21-1)/2,L21/SUM($L$21:$L$23),"")</f>
        <v>0.333333333333333</v>
      </c>
      <c r="O21" s="48" t="s">
        <v>229</v>
      </c>
      <c r="P21" s="11" t="n">
        <f aca="false">ROWS(A21:A23)</f>
        <v>3</v>
      </c>
      <c r="Q21" s="8" t="s">
        <v>117</v>
      </c>
      <c r="S21" s="30" t="n">
        <f aca="false">IF(AND(ISNUMBER(D21),ISNUMBER($M21),ISNUMBER($M22)),MAX(D21*$M22/$M21,$M21/(D21*$M22)),"")</f>
        <v>1</v>
      </c>
      <c r="T21" s="30" t="n">
        <f aca="false">IF(AND(ISNUMBER(E21),ISNUMBER($M21),ISNUMBER($M23)),MAX(E21*$M23/$M21,$M21/(E21*$M23)),"")</f>
        <v>1</v>
      </c>
      <c r="AA21" s="49" t="n">
        <f aca="false">IF(COUNT(R21:T21)=0,"",MAX(R21:T21))</f>
        <v>1</v>
      </c>
    </row>
    <row r="22" customFormat="false" ht="27" hidden="false" customHeight="true" outlineLevel="0" collapsed="false">
      <c r="A22" s="19" t="s">
        <v>119</v>
      </c>
      <c r="B22" s="9" t="s">
        <v>120</v>
      </c>
      <c r="C22" s="31" t="n">
        <f aca="false">IF(ISNUMBER(D21),1/D21,"")</f>
        <v>1</v>
      </c>
      <c r="D22" s="31" t="n">
        <v>1</v>
      </c>
      <c r="E22" s="31" t="n">
        <f aca="false">نسبت!K47</f>
        <v>1</v>
      </c>
      <c r="L22" s="37" t="n">
        <f aca="false">IF($P$22=$P$21*($P$21-1)/2,GEOMEAN(C22:E22),"")</f>
        <v>1</v>
      </c>
      <c r="M22" s="36" t="n">
        <f aca="false">IF($P$22=$P$21*($P$21-1)/2,L22/SUM($L$21:$L$23),"")</f>
        <v>0.333333333333333</v>
      </c>
      <c r="O22" s="48" t="s">
        <v>230</v>
      </c>
      <c r="P22" s="11" t="n">
        <f aca="false">(COUNT(C21:E23)-$P$21)/2</f>
        <v>3</v>
      </c>
      <c r="Q22" s="8" t="s">
        <v>119</v>
      </c>
      <c r="T22" s="30" t="n">
        <f aca="false">IF(AND(ISNUMBER(E22),ISNUMBER($M22),ISNUMBER($M23)),MAX(E22*$M23/$M22,$M22/(E22*$M23)),"")</f>
        <v>1</v>
      </c>
      <c r="AA22" s="49" t="n">
        <f aca="false">IF(COUNT(R22:T22)=0,"",MAX(R22:T22))</f>
        <v>1</v>
      </c>
    </row>
    <row r="23" customFormat="false" ht="27" hidden="false" customHeight="true" outlineLevel="0" collapsed="false">
      <c r="A23" s="19" t="s">
        <v>121</v>
      </c>
      <c r="B23" s="9" t="s">
        <v>122</v>
      </c>
      <c r="C23" s="31" t="n">
        <f aca="false">IF(ISNUMBER(E21),1/E21,"")</f>
        <v>1</v>
      </c>
      <c r="D23" s="31" t="n">
        <f aca="false">IF(ISNUMBER(E22),1/E22,"")</f>
        <v>1</v>
      </c>
      <c r="E23" s="31" t="n">
        <v>1</v>
      </c>
      <c r="L23" s="37" t="n">
        <f aca="false">IF($P$22=$P$21*($P$21-1)/2,GEOMEAN(C23:E23),"")</f>
        <v>1</v>
      </c>
      <c r="M23" s="36" t="n">
        <f aca="false">IF($P$22=$P$21*($P$21-1)/2,L23/SUM($L$21:$L$23),"")</f>
        <v>0.333333333333333</v>
      </c>
      <c r="O23" s="48" t="s">
        <v>231</v>
      </c>
      <c r="P23" s="37" t="n">
        <f aca="false">IF($P$22=$P$21*($P$21-1)/2,SUMPRODUCT(C24:E24,C25:E25),"")</f>
        <v>3</v>
      </c>
      <c r="Q23" s="8" t="s">
        <v>121</v>
      </c>
    </row>
    <row r="24" customFormat="false" ht="15" hidden="false" customHeight="false" outlineLevel="0" collapsed="false">
      <c r="A24" s="50"/>
      <c r="B24" s="51" t="s">
        <v>235</v>
      </c>
      <c r="C24" s="52" t="n">
        <f aca="false">IF($P$22=$P$21*($P$21-1)/2,SUM(C21:C23),"")</f>
        <v>3</v>
      </c>
      <c r="D24" s="52" t="n">
        <f aca="false">IF($P$22=$P$21*($P$21-1)/2,SUM(D21:D23),"")</f>
        <v>3</v>
      </c>
      <c r="E24" s="52" t="n">
        <f aca="false">IF($P$22=$P$21*($P$21-1)/2,SUM(E21:E23),"")</f>
        <v>3</v>
      </c>
      <c r="M24" s="53" t="n">
        <f aca="false">IF($P$22=$P$21*($P$21-1)/2,SUM(M21:M23),"")</f>
        <v>1</v>
      </c>
      <c r="O24" s="48" t="s">
        <v>48</v>
      </c>
      <c r="P24" s="37" t="n">
        <f aca="false">IF(ISNUMBER(P23),(P23-$P$21)/($P$21-1),"")</f>
        <v>0</v>
      </c>
    </row>
    <row r="25" customFormat="false" ht="15" hidden="false" customHeight="false" outlineLevel="0" collapsed="false">
      <c r="A25" s="50"/>
      <c r="B25" s="51" t="s">
        <v>236</v>
      </c>
      <c r="C25" s="53" t="n">
        <f aca="false">M21</f>
        <v>0.333333333333333</v>
      </c>
      <c r="D25" s="53" t="n">
        <f aca="false">M22</f>
        <v>0.333333333333333</v>
      </c>
      <c r="E25" s="53" t="n">
        <f aca="false">M23</f>
        <v>0.333333333333333</v>
      </c>
      <c r="O25" s="48" t="s">
        <v>232</v>
      </c>
      <c r="P25" s="30" t="n">
        <f aca="false">INDEX(راهنما!$C$29:$C$38,MATCH($P$21,راهنما!$B$29:$B$38,0))</f>
        <v>0.58</v>
      </c>
    </row>
    <row r="26" customFormat="false" ht="15" hidden="false" customHeight="false" outlineLevel="0" collapsed="false">
      <c r="O26" s="48" t="s">
        <v>50</v>
      </c>
      <c r="P26" s="41" t="n">
        <f aca="false">IF(ISNUMBER(P24),IF(P25=0,0,MAX(0,P24)/P25),"")</f>
        <v>0</v>
      </c>
    </row>
    <row r="27" customFormat="false" ht="15" hidden="false" customHeight="false" outlineLevel="0" collapsed="false">
      <c r="O27" s="48" t="s">
        <v>83</v>
      </c>
      <c r="P27" s="10" t="str">
        <f aca="false">IF(NOT($P$22=$P$21*($P$21-1)/2),"ناقص",IF(P26&lt;=$P$3,"سازگار","ناسازگار"))</f>
        <v>سازگار</v>
      </c>
    </row>
    <row r="28" customFormat="false" ht="15" hidden="false" customHeight="false" outlineLevel="0" collapsed="false">
      <c r="O28" s="48" t="s">
        <v>233</v>
      </c>
      <c r="P28" s="30" t="n">
        <f aca="false">IF(COUNT(AA21:AA23)=0,"",MAX(AA21:AA23))</f>
        <v>1</v>
      </c>
    </row>
    <row r="29" customFormat="false" ht="15" hidden="false" customHeight="false" outlineLevel="0" collapsed="false">
      <c r="O29" s="48" t="s">
        <v>234</v>
      </c>
      <c r="P29" s="19" t="str">
        <f aca="false">IF(ISNUMBER(P28),INDEX(A21:A23,MATCH(P28,AA21:AA23,0))&amp;" و "&amp;INDEX(C20:E20,MATCH(P28,INDEX(R21:T23,MATCH(P28,AA21:AA23,0),0),0)),"")</f>
        <v>گ۱ و گ۲</v>
      </c>
    </row>
    <row r="31" customFormat="false" ht="15" hidden="false" customHeight="false" outlineLevel="0" collapsed="false">
      <c r="A31" s="45" t="s">
        <v>238</v>
      </c>
      <c r="B31" s="45"/>
      <c r="C31" s="45"/>
      <c r="D31" s="45"/>
      <c r="E31" s="45"/>
      <c r="F31" s="45"/>
      <c r="G31" s="45"/>
      <c r="H31" s="45"/>
      <c r="I31" s="45"/>
      <c r="J31" s="45"/>
      <c r="K31" s="45"/>
      <c r="L31" s="45"/>
      <c r="M31" s="45"/>
      <c r="Q31" s="46" t="s">
        <v>224</v>
      </c>
      <c r="R31" s="46"/>
      <c r="S31" s="46"/>
      <c r="T31" s="46"/>
      <c r="U31" s="46"/>
      <c r="V31" s="46"/>
      <c r="W31" s="46"/>
      <c r="X31" s="46"/>
      <c r="Y31" s="46"/>
      <c r="Z31" s="46"/>
      <c r="AA31" s="46"/>
    </row>
    <row r="32" customFormat="false" ht="27.75" hidden="false" customHeight="true" outlineLevel="0" collapsed="false">
      <c r="A32" s="8" t="s">
        <v>199</v>
      </c>
      <c r="B32" s="8" t="s">
        <v>225</v>
      </c>
      <c r="C32" s="8" t="s">
        <v>123</v>
      </c>
      <c r="D32" s="8" t="s">
        <v>125</v>
      </c>
      <c r="E32" s="8" t="s">
        <v>127</v>
      </c>
      <c r="F32" s="8" t="s">
        <v>129</v>
      </c>
      <c r="L32" s="7" t="s">
        <v>226</v>
      </c>
      <c r="M32" s="8" t="s">
        <v>227</v>
      </c>
      <c r="Q32" s="8" t="s">
        <v>199</v>
      </c>
      <c r="R32" s="8" t="s">
        <v>123</v>
      </c>
      <c r="S32" s="8" t="s">
        <v>125</v>
      </c>
      <c r="T32" s="8" t="s">
        <v>127</v>
      </c>
      <c r="U32" s="8" t="s">
        <v>129</v>
      </c>
      <c r="AA32" s="47" t="s">
        <v>228</v>
      </c>
    </row>
    <row r="33" customFormat="false" ht="27" hidden="false" customHeight="true" outlineLevel="0" collapsed="false">
      <c r="A33" s="19" t="s">
        <v>123</v>
      </c>
      <c r="B33" s="9" t="s">
        <v>124</v>
      </c>
      <c r="C33" s="31" t="n">
        <v>1</v>
      </c>
      <c r="D33" s="31" t="n">
        <f aca="false">نسبت!K48</f>
        <v>1</v>
      </c>
      <c r="E33" s="31" t="n">
        <f aca="false">نسبت!K49</f>
        <v>1</v>
      </c>
      <c r="F33" s="31" t="n">
        <f aca="false">نسبت!K50</f>
        <v>2</v>
      </c>
      <c r="L33" s="37" t="n">
        <f aca="false">IF($P$34=$P$33*($P$33-1)/2,GEOMEAN(C33:F33),"")</f>
        <v>1.18920711500272</v>
      </c>
      <c r="M33" s="36" t="n">
        <f aca="false">IF($P$34=$P$33*($P$33-1)/2,L33/SUM($L$33:$L$36),"")</f>
        <v>0.285714285714286</v>
      </c>
      <c r="O33" s="48" t="s">
        <v>229</v>
      </c>
      <c r="P33" s="11" t="n">
        <f aca="false">ROWS(A33:A36)</f>
        <v>4</v>
      </c>
      <c r="Q33" s="8" t="s">
        <v>123</v>
      </c>
      <c r="S33" s="30" t="n">
        <f aca="false">IF(AND(ISNUMBER(D33),ISNUMBER($M33),ISNUMBER($M34)),MAX(D33*$M34/$M33,$M33/(D33*$M34)),"")</f>
        <v>1</v>
      </c>
      <c r="T33" s="30" t="n">
        <f aca="false">IF(AND(ISNUMBER(E33),ISNUMBER($M33),ISNUMBER($M35)),MAX(E33*$M35/$M33,$M33/(E33*$M35)),"")</f>
        <v>1</v>
      </c>
      <c r="U33" s="30" t="n">
        <f aca="false">IF(AND(ISNUMBER(F33),ISNUMBER($M33),ISNUMBER($M36)),MAX(F33*$M36/$M33,$M33/(F33*$M36)),"")</f>
        <v>1</v>
      </c>
      <c r="AA33" s="49" t="n">
        <f aca="false">IF(COUNT(R33:U33)=0,"",MAX(R33:U33))</f>
        <v>1</v>
      </c>
    </row>
    <row r="34" customFormat="false" ht="27" hidden="false" customHeight="true" outlineLevel="0" collapsed="false">
      <c r="A34" s="19" t="s">
        <v>125</v>
      </c>
      <c r="B34" s="9" t="s">
        <v>126</v>
      </c>
      <c r="C34" s="31" t="n">
        <f aca="false">IF(ISNUMBER(D33),1/D33,"")</f>
        <v>1</v>
      </c>
      <c r="D34" s="31" t="n">
        <v>1</v>
      </c>
      <c r="E34" s="31" t="n">
        <f aca="false">نسبت!K51</f>
        <v>1</v>
      </c>
      <c r="F34" s="31" t="n">
        <f aca="false">نسبت!K52</f>
        <v>2</v>
      </c>
      <c r="L34" s="37" t="n">
        <f aca="false">IF($P$34=$P$33*($P$33-1)/2,GEOMEAN(C34:F34),"")</f>
        <v>1.18920711500272</v>
      </c>
      <c r="M34" s="36" t="n">
        <f aca="false">IF($P$34=$P$33*($P$33-1)/2,L34/SUM($L$33:$L$36),"")</f>
        <v>0.285714285714286</v>
      </c>
      <c r="O34" s="48" t="s">
        <v>230</v>
      </c>
      <c r="P34" s="11" t="n">
        <f aca="false">(COUNT(C33:F36)-$P$33)/2</f>
        <v>6</v>
      </c>
      <c r="Q34" s="8" t="s">
        <v>125</v>
      </c>
      <c r="T34" s="30" t="n">
        <f aca="false">IF(AND(ISNUMBER(E34),ISNUMBER($M34),ISNUMBER($M35)),MAX(E34*$M35/$M34,$M34/(E34*$M35)),"")</f>
        <v>1</v>
      </c>
      <c r="U34" s="30" t="n">
        <f aca="false">IF(AND(ISNUMBER(F34),ISNUMBER($M34),ISNUMBER($M36)),MAX(F34*$M36/$M34,$M34/(F34*$M36)),"")</f>
        <v>1</v>
      </c>
      <c r="AA34" s="49" t="n">
        <f aca="false">IF(COUNT(R34:U34)=0,"",MAX(R34:U34))</f>
        <v>1</v>
      </c>
    </row>
    <row r="35" customFormat="false" ht="27" hidden="false" customHeight="true" outlineLevel="0" collapsed="false">
      <c r="A35" s="19" t="s">
        <v>127</v>
      </c>
      <c r="B35" s="9" t="s">
        <v>128</v>
      </c>
      <c r="C35" s="31" t="n">
        <f aca="false">IF(ISNUMBER(E33),1/E33,"")</f>
        <v>1</v>
      </c>
      <c r="D35" s="31" t="n">
        <f aca="false">IF(ISNUMBER(E34),1/E34,"")</f>
        <v>1</v>
      </c>
      <c r="E35" s="31" t="n">
        <v>1</v>
      </c>
      <c r="F35" s="31" t="n">
        <f aca="false">نسبت!K53</f>
        <v>2</v>
      </c>
      <c r="L35" s="37" t="n">
        <f aca="false">IF($P$34=$P$33*($P$33-1)/2,GEOMEAN(C35:F35),"")</f>
        <v>1.18920711500272</v>
      </c>
      <c r="M35" s="36" t="n">
        <f aca="false">IF($P$34=$P$33*($P$33-1)/2,L35/SUM($L$33:$L$36),"")</f>
        <v>0.285714285714286</v>
      </c>
      <c r="O35" s="48" t="s">
        <v>231</v>
      </c>
      <c r="P35" s="37" t="n">
        <f aca="false">IF($P$34=$P$33*($P$33-1)/2,SUMPRODUCT(C37:F37,C38:F38),"")</f>
        <v>4</v>
      </c>
      <c r="Q35" s="8" t="s">
        <v>127</v>
      </c>
      <c r="U35" s="30" t="n">
        <f aca="false">IF(AND(ISNUMBER(F35),ISNUMBER($M35),ISNUMBER($M36)),MAX(F35*$M36/$M35,$M35/(F35*$M36)),"")</f>
        <v>1</v>
      </c>
      <c r="AA35" s="49" t="n">
        <f aca="false">IF(COUNT(R35:U35)=0,"",MAX(R35:U35))</f>
        <v>1</v>
      </c>
    </row>
    <row r="36" customFormat="false" ht="27" hidden="false" customHeight="true" outlineLevel="0" collapsed="false">
      <c r="A36" s="19" t="s">
        <v>129</v>
      </c>
      <c r="B36" s="9" t="s">
        <v>130</v>
      </c>
      <c r="C36" s="31" t="n">
        <f aca="false">IF(ISNUMBER(F33),1/F33,"")</f>
        <v>0.5</v>
      </c>
      <c r="D36" s="31" t="n">
        <f aca="false">IF(ISNUMBER(F34),1/F34,"")</f>
        <v>0.5</v>
      </c>
      <c r="E36" s="31" t="n">
        <f aca="false">IF(ISNUMBER(F35),1/F35,"")</f>
        <v>0.5</v>
      </c>
      <c r="F36" s="31" t="n">
        <v>1</v>
      </c>
      <c r="L36" s="37" t="n">
        <f aca="false">IF($P$34=$P$33*($P$33-1)/2,GEOMEAN(C36:F36),"")</f>
        <v>0.594603557501361</v>
      </c>
      <c r="M36" s="36" t="n">
        <f aca="false">IF($P$34=$P$33*($P$33-1)/2,L36/SUM($L$33:$L$36),"")</f>
        <v>0.142857142857143</v>
      </c>
      <c r="O36" s="48" t="s">
        <v>48</v>
      </c>
      <c r="P36" s="37" t="n">
        <f aca="false">IF(ISNUMBER(P35),(P35-$P$33)/($P$33-1),"")</f>
        <v>0</v>
      </c>
      <c r="Q36" s="8" t="s">
        <v>129</v>
      </c>
    </row>
    <row r="37" customFormat="false" ht="15" hidden="false" customHeight="false" outlineLevel="0" collapsed="false">
      <c r="A37" s="50"/>
      <c r="B37" s="51" t="s">
        <v>235</v>
      </c>
      <c r="C37" s="52" t="n">
        <f aca="false">IF($P$34=$P$33*($P$33-1)/2,SUM(C33:C36),"")</f>
        <v>3.5</v>
      </c>
      <c r="D37" s="52" t="n">
        <f aca="false">IF($P$34=$P$33*($P$33-1)/2,SUM(D33:D36),"")</f>
        <v>3.5</v>
      </c>
      <c r="E37" s="52" t="n">
        <f aca="false">IF($P$34=$P$33*($P$33-1)/2,SUM(E33:E36),"")</f>
        <v>3.5</v>
      </c>
      <c r="F37" s="52" t="n">
        <f aca="false">IF($P$34=$P$33*($P$33-1)/2,SUM(F33:F36),"")</f>
        <v>7</v>
      </c>
      <c r="M37" s="53" t="n">
        <f aca="false">IF($P$34=$P$33*($P$33-1)/2,SUM(M33:M36),"")</f>
        <v>1</v>
      </c>
      <c r="O37" s="48" t="s">
        <v>232</v>
      </c>
      <c r="P37" s="30" t="n">
        <f aca="false">INDEX(راهنما!$C$29:$C$38,MATCH($P$33,راهنما!$B$29:$B$38,0))</f>
        <v>0.9</v>
      </c>
    </row>
    <row r="38" customFormat="false" ht="15" hidden="false" customHeight="false" outlineLevel="0" collapsed="false">
      <c r="A38" s="50"/>
      <c r="B38" s="51" t="s">
        <v>236</v>
      </c>
      <c r="C38" s="53" t="n">
        <f aca="false">M33</f>
        <v>0.285714285714286</v>
      </c>
      <c r="D38" s="53" t="n">
        <f aca="false">M34</f>
        <v>0.285714285714286</v>
      </c>
      <c r="E38" s="53" t="n">
        <f aca="false">M35</f>
        <v>0.285714285714286</v>
      </c>
      <c r="F38" s="53" t="n">
        <f aca="false">M36</f>
        <v>0.142857142857143</v>
      </c>
      <c r="O38" s="48" t="s">
        <v>50</v>
      </c>
      <c r="P38" s="41" t="n">
        <f aca="false">IF(ISNUMBER(P36),IF(P37=0,0,MAX(0,P36)/P37),"")</f>
        <v>0</v>
      </c>
    </row>
    <row r="39" customFormat="false" ht="15" hidden="false" customHeight="false" outlineLevel="0" collapsed="false">
      <c r="O39" s="48" t="s">
        <v>83</v>
      </c>
      <c r="P39" s="10" t="str">
        <f aca="false">IF(NOT($P$34=$P$33*($P$33-1)/2),"ناقص",IF(P38&lt;=$P$3,"سازگار","ناسازگار"))</f>
        <v>سازگار</v>
      </c>
    </row>
    <row r="40" customFormat="false" ht="15" hidden="false" customHeight="false" outlineLevel="0" collapsed="false">
      <c r="O40" s="48" t="s">
        <v>233</v>
      </c>
      <c r="P40" s="30" t="n">
        <f aca="false">IF(COUNT(AA33:AA36)=0,"",MAX(AA33:AA36))</f>
        <v>1</v>
      </c>
    </row>
    <row r="41" customFormat="false" ht="15" hidden="false" customHeight="false" outlineLevel="0" collapsed="false">
      <c r="O41" s="48" t="s">
        <v>234</v>
      </c>
      <c r="P41" s="19" t="str">
        <f aca="false">IF(ISNUMBER(P40),INDEX(A33:A36,MATCH(P40,AA33:AA36,0))&amp;" و "&amp;INDEX(C32:F32,MATCH(P40,INDEX(R33:U36,MATCH(P40,AA33:AA36,0),0),0)),"")</f>
        <v>گ۴ و گ۵</v>
      </c>
    </row>
    <row r="43" customFormat="false" ht="15" hidden="false" customHeight="false" outlineLevel="0" collapsed="false">
      <c r="A43" s="45" t="s">
        <v>239</v>
      </c>
      <c r="B43" s="45"/>
      <c r="C43" s="45"/>
      <c r="D43" s="45"/>
      <c r="E43" s="45"/>
      <c r="F43" s="45"/>
      <c r="G43" s="45"/>
      <c r="H43" s="45"/>
      <c r="I43" s="45"/>
      <c r="J43" s="45"/>
      <c r="K43" s="45"/>
      <c r="L43" s="45"/>
      <c r="M43" s="45"/>
      <c r="Q43" s="46" t="s">
        <v>224</v>
      </c>
      <c r="R43" s="46"/>
      <c r="S43" s="46"/>
      <c r="T43" s="46"/>
      <c r="U43" s="46"/>
      <c r="V43" s="46"/>
      <c r="W43" s="46"/>
      <c r="X43" s="46"/>
      <c r="Y43" s="46"/>
      <c r="Z43" s="46"/>
      <c r="AA43" s="46"/>
    </row>
    <row r="44" customFormat="false" ht="27.75" hidden="false" customHeight="true" outlineLevel="0" collapsed="false">
      <c r="A44" s="8" t="s">
        <v>199</v>
      </c>
      <c r="B44" s="8" t="s">
        <v>225</v>
      </c>
      <c r="C44" s="8" t="s">
        <v>131</v>
      </c>
      <c r="D44" s="8" t="s">
        <v>133</v>
      </c>
      <c r="E44" s="8" t="s">
        <v>135</v>
      </c>
      <c r="L44" s="7" t="s">
        <v>226</v>
      </c>
      <c r="M44" s="8" t="s">
        <v>227</v>
      </c>
      <c r="Q44" s="8" t="s">
        <v>199</v>
      </c>
      <c r="R44" s="8" t="s">
        <v>131</v>
      </c>
      <c r="S44" s="8" t="s">
        <v>133</v>
      </c>
      <c r="T44" s="8" t="s">
        <v>135</v>
      </c>
      <c r="AA44" s="47" t="s">
        <v>228</v>
      </c>
    </row>
    <row r="45" customFormat="false" ht="27" hidden="false" customHeight="true" outlineLevel="0" collapsed="false">
      <c r="A45" s="19" t="s">
        <v>131</v>
      </c>
      <c r="B45" s="9" t="s">
        <v>132</v>
      </c>
      <c r="C45" s="31" t="n">
        <v>1</v>
      </c>
      <c r="D45" s="31" t="n">
        <f aca="false">نسبت!K54</f>
        <v>1</v>
      </c>
      <c r="E45" s="31" t="n">
        <f aca="false">نسبت!K55</f>
        <v>1</v>
      </c>
      <c r="L45" s="37" t="n">
        <f aca="false">IF($P$46=$P$45*($P$45-1)/2,GEOMEAN(C45:E45),"")</f>
        <v>1</v>
      </c>
      <c r="M45" s="36" t="n">
        <f aca="false">IF($P$46=$P$45*($P$45-1)/2,L45/SUM($L$45:$L$47),"")</f>
        <v>0.333333333333333</v>
      </c>
      <c r="O45" s="48" t="s">
        <v>229</v>
      </c>
      <c r="P45" s="11" t="n">
        <f aca="false">ROWS(A45:A47)</f>
        <v>3</v>
      </c>
      <c r="Q45" s="8" t="s">
        <v>131</v>
      </c>
      <c r="S45" s="30" t="n">
        <f aca="false">IF(AND(ISNUMBER(D45),ISNUMBER($M45),ISNUMBER($M46)),MAX(D45*$M46/$M45,$M45/(D45*$M46)),"")</f>
        <v>1</v>
      </c>
      <c r="T45" s="30" t="n">
        <f aca="false">IF(AND(ISNUMBER(E45),ISNUMBER($M45),ISNUMBER($M47)),MAX(E45*$M47/$M45,$M45/(E45*$M47)),"")</f>
        <v>1</v>
      </c>
      <c r="AA45" s="49" t="n">
        <f aca="false">IF(COUNT(R45:T45)=0,"",MAX(R45:T45))</f>
        <v>1</v>
      </c>
    </row>
    <row r="46" customFormat="false" ht="27" hidden="false" customHeight="true" outlineLevel="0" collapsed="false">
      <c r="A46" s="19" t="s">
        <v>133</v>
      </c>
      <c r="B46" s="9" t="s">
        <v>134</v>
      </c>
      <c r="C46" s="31" t="n">
        <f aca="false">IF(ISNUMBER(D45),1/D45,"")</f>
        <v>1</v>
      </c>
      <c r="D46" s="31" t="n">
        <v>1</v>
      </c>
      <c r="E46" s="31" t="n">
        <f aca="false">نسبت!K56</f>
        <v>1</v>
      </c>
      <c r="L46" s="37" t="n">
        <f aca="false">IF($P$46=$P$45*($P$45-1)/2,GEOMEAN(C46:E46),"")</f>
        <v>1</v>
      </c>
      <c r="M46" s="36" t="n">
        <f aca="false">IF($P$46=$P$45*($P$45-1)/2,L46/SUM($L$45:$L$47),"")</f>
        <v>0.333333333333333</v>
      </c>
      <c r="O46" s="48" t="s">
        <v>230</v>
      </c>
      <c r="P46" s="11" t="n">
        <f aca="false">(COUNT(C45:E47)-$P$45)/2</f>
        <v>3</v>
      </c>
      <c r="Q46" s="8" t="s">
        <v>133</v>
      </c>
      <c r="T46" s="30" t="n">
        <f aca="false">IF(AND(ISNUMBER(E46),ISNUMBER($M46),ISNUMBER($M47)),MAX(E46*$M47/$M46,$M46/(E46*$M47)),"")</f>
        <v>1</v>
      </c>
      <c r="AA46" s="49" t="n">
        <f aca="false">IF(COUNT(R46:T46)=0,"",MAX(R46:T46))</f>
        <v>1</v>
      </c>
    </row>
    <row r="47" customFormat="false" ht="27" hidden="false" customHeight="true" outlineLevel="0" collapsed="false">
      <c r="A47" s="19" t="s">
        <v>135</v>
      </c>
      <c r="B47" s="9" t="s">
        <v>136</v>
      </c>
      <c r="C47" s="31" t="n">
        <f aca="false">IF(ISNUMBER(E45),1/E45,"")</f>
        <v>1</v>
      </c>
      <c r="D47" s="31" t="n">
        <f aca="false">IF(ISNUMBER(E46),1/E46,"")</f>
        <v>1</v>
      </c>
      <c r="E47" s="31" t="n">
        <v>1</v>
      </c>
      <c r="L47" s="37" t="n">
        <f aca="false">IF($P$46=$P$45*($P$45-1)/2,GEOMEAN(C47:E47),"")</f>
        <v>1</v>
      </c>
      <c r="M47" s="36" t="n">
        <f aca="false">IF($P$46=$P$45*($P$45-1)/2,L47/SUM($L$45:$L$47),"")</f>
        <v>0.333333333333333</v>
      </c>
      <c r="O47" s="48" t="s">
        <v>231</v>
      </c>
      <c r="P47" s="37" t="n">
        <f aca="false">IF($P$46=$P$45*($P$45-1)/2,SUMPRODUCT(C48:E48,C49:E49),"")</f>
        <v>3</v>
      </c>
      <c r="Q47" s="8" t="s">
        <v>135</v>
      </c>
    </row>
    <row r="48" customFormat="false" ht="15" hidden="false" customHeight="false" outlineLevel="0" collapsed="false">
      <c r="A48" s="50"/>
      <c r="B48" s="51" t="s">
        <v>235</v>
      </c>
      <c r="C48" s="52" t="n">
        <f aca="false">IF($P$46=$P$45*($P$45-1)/2,SUM(C45:C47),"")</f>
        <v>3</v>
      </c>
      <c r="D48" s="52" t="n">
        <f aca="false">IF($P$46=$P$45*($P$45-1)/2,SUM(D45:D47),"")</f>
        <v>3</v>
      </c>
      <c r="E48" s="52" t="n">
        <f aca="false">IF($P$46=$P$45*($P$45-1)/2,SUM(E45:E47),"")</f>
        <v>3</v>
      </c>
      <c r="M48" s="53" t="n">
        <f aca="false">IF($P$46=$P$45*($P$45-1)/2,SUM(M45:M47),"")</f>
        <v>1</v>
      </c>
      <c r="O48" s="48" t="s">
        <v>48</v>
      </c>
      <c r="P48" s="37" t="n">
        <f aca="false">IF(ISNUMBER(P47),(P47-$P$45)/($P$45-1),"")</f>
        <v>0</v>
      </c>
    </row>
    <row r="49" customFormat="false" ht="15" hidden="false" customHeight="false" outlineLevel="0" collapsed="false">
      <c r="A49" s="50"/>
      <c r="B49" s="51" t="s">
        <v>236</v>
      </c>
      <c r="C49" s="53" t="n">
        <f aca="false">M45</f>
        <v>0.333333333333333</v>
      </c>
      <c r="D49" s="53" t="n">
        <f aca="false">M46</f>
        <v>0.333333333333333</v>
      </c>
      <c r="E49" s="53" t="n">
        <f aca="false">M47</f>
        <v>0.333333333333333</v>
      </c>
      <c r="O49" s="48" t="s">
        <v>232</v>
      </c>
      <c r="P49" s="30" t="n">
        <f aca="false">INDEX(راهنما!$C$29:$C$38,MATCH($P$45,راهنما!$B$29:$B$38,0))</f>
        <v>0.58</v>
      </c>
    </row>
    <row r="50" customFormat="false" ht="15" hidden="false" customHeight="false" outlineLevel="0" collapsed="false">
      <c r="O50" s="48" t="s">
        <v>50</v>
      </c>
      <c r="P50" s="41" t="n">
        <f aca="false">IF(ISNUMBER(P48),IF(P49=0,0,MAX(0,P48)/P49),"")</f>
        <v>0</v>
      </c>
    </row>
    <row r="51" customFormat="false" ht="15" hidden="false" customHeight="false" outlineLevel="0" collapsed="false">
      <c r="O51" s="48" t="s">
        <v>83</v>
      </c>
      <c r="P51" s="10" t="str">
        <f aca="false">IF(NOT($P$46=$P$45*($P$45-1)/2),"ناقص",IF(P50&lt;=$P$3,"سازگار","ناسازگار"))</f>
        <v>سازگار</v>
      </c>
    </row>
    <row r="52" customFormat="false" ht="15" hidden="false" customHeight="false" outlineLevel="0" collapsed="false">
      <c r="O52" s="48" t="s">
        <v>233</v>
      </c>
      <c r="P52" s="30" t="n">
        <f aca="false">IF(COUNT(AA45:AA47)=0,"",MAX(AA45:AA47))</f>
        <v>1</v>
      </c>
    </row>
    <row r="53" customFormat="false" ht="15" hidden="false" customHeight="false" outlineLevel="0" collapsed="false">
      <c r="O53" s="48" t="s">
        <v>234</v>
      </c>
      <c r="P53" s="19" t="str">
        <f aca="false">IF(ISNUMBER(P52),INDEX(A45:A47,MATCH(P52,AA45:AA47,0))&amp;" و "&amp;INDEX(C44:E44,MATCH(P52,INDEX(R45:T47,MATCH(P52,AA45:AA47,0),0),0)),"")</f>
        <v>گ۸ و گ۹</v>
      </c>
    </row>
    <row r="55" customFormat="false" ht="15" hidden="false" customHeight="false" outlineLevel="0" collapsed="false">
      <c r="A55" s="45" t="s">
        <v>240</v>
      </c>
      <c r="B55" s="45"/>
      <c r="C55" s="45"/>
      <c r="D55" s="45"/>
      <c r="E55" s="45"/>
      <c r="F55" s="45"/>
      <c r="G55" s="45"/>
      <c r="H55" s="45"/>
      <c r="I55" s="45"/>
      <c r="J55" s="45"/>
      <c r="K55" s="45"/>
      <c r="L55" s="45"/>
      <c r="M55" s="45"/>
      <c r="Q55" s="46" t="s">
        <v>224</v>
      </c>
      <c r="R55" s="46"/>
      <c r="S55" s="46"/>
      <c r="T55" s="46"/>
      <c r="U55" s="46"/>
      <c r="V55" s="46"/>
      <c r="W55" s="46"/>
      <c r="X55" s="46"/>
      <c r="Y55" s="46"/>
      <c r="Z55" s="46"/>
      <c r="AA55" s="46"/>
    </row>
    <row r="56" customFormat="false" ht="27.75" hidden="false" customHeight="true" outlineLevel="0" collapsed="false">
      <c r="A56" s="8" t="s">
        <v>199</v>
      </c>
      <c r="B56" s="8" t="s">
        <v>225</v>
      </c>
      <c r="C56" s="8" t="s">
        <v>137</v>
      </c>
      <c r="D56" s="8" t="s">
        <v>139</v>
      </c>
      <c r="E56" s="8" t="s">
        <v>141</v>
      </c>
      <c r="F56" s="8" t="s">
        <v>143</v>
      </c>
      <c r="L56" s="7" t="s">
        <v>226</v>
      </c>
      <c r="M56" s="8" t="s">
        <v>227</v>
      </c>
      <c r="Q56" s="8" t="s">
        <v>199</v>
      </c>
      <c r="R56" s="8" t="s">
        <v>137</v>
      </c>
      <c r="S56" s="8" t="s">
        <v>139</v>
      </c>
      <c r="T56" s="8" t="s">
        <v>141</v>
      </c>
      <c r="U56" s="8" t="s">
        <v>143</v>
      </c>
      <c r="AA56" s="47" t="s">
        <v>228</v>
      </c>
    </row>
    <row r="57" customFormat="false" ht="27" hidden="false" customHeight="true" outlineLevel="0" collapsed="false">
      <c r="A57" s="19" t="s">
        <v>137</v>
      </c>
      <c r="B57" s="9" t="s">
        <v>138</v>
      </c>
      <c r="C57" s="31" t="n">
        <v>1</v>
      </c>
      <c r="D57" s="31" t="n">
        <f aca="false">نسبت!K57</f>
        <v>1</v>
      </c>
      <c r="E57" s="31" t="n">
        <f aca="false">نسبت!K58</f>
        <v>2</v>
      </c>
      <c r="F57" s="31" t="n">
        <f aca="false">نسبت!K59</f>
        <v>1</v>
      </c>
      <c r="L57" s="37" t="n">
        <f aca="false">IF($P$58=$P$57*($P$57-1)/2,GEOMEAN(C57:F57),"")</f>
        <v>1.18920711500272</v>
      </c>
      <c r="M57" s="36" t="n">
        <f aca="false">IF($P$58=$P$57*($P$57-1)/2,L57/SUM($L$57:$L$60),"")</f>
        <v>0.285714285714286</v>
      </c>
      <c r="O57" s="48" t="s">
        <v>229</v>
      </c>
      <c r="P57" s="11" t="n">
        <f aca="false">ROWS(A57:A60)</f>
        <v>4</v>
      </c>
      <c r="Q57" s="8" t="s">
        <v>137</v>
      </c>
      <c r="S57" s="30" t="n">
        <f aca="false">IF(AND(ISNUMBER(D57),ISNUMBER($M57),ISNUMBER($M58)),MAX(D57*$M58/$M57,$M57/(D57*$M58)),"")</f>
        <v>1</v>
      </c>
      <c r="T57" s="30" t="n">
        <f aca="false">IF(AND(ISNUMBER(E57),ISNUMBER($M57),ISNUMBER($M59)),MAX(E57*$M59/$M57,$M57/(E57*$M59)),"")</f>
        <v>1</v>
      </c>
      <c r="U57" s="30" t="n">
        <f aca="false">IF(AND(ISNUMBER(F57),ISNUMBER($M57),ISNUMBER($M60)),MAX(F57*$M60/$M57,$M57/(F57*$M60)),"")</f>
        <v>1</v>
      </c>
      <c r="AA57" s="49" t="n">
        <f aca="false">IF(COUNT(R57:U57)=0,"",MAX(R57:U57))</f>
        <v>1</v>
      </c>
    </row>
    <row r="58" customFormat="false" ht="27" hidden="false" customHeight="true" outlineLevel="0" collapsed="false">
      <c r="A58" s="19" t="s">
        <v>139</v>
      </c>
      <c r="B58" s="9" t="s">
        <v>140</v>
      </c>
      <c r="C58" s="31" t="n">
        <f aca="false">IF(ISNUMBER(D57),1/D57,"")</f>
        <v>1</v>
      </c>
      <c r="D58" s="31" t="n">
        <v>1</v>
      </c>
      <c r="E58" s="31" t="n">
        <f aca="false">نسبت!K60</f>
        <v>2</v>
      </c>
      <c r="F58" s="31" t="n">
        <f aca="false">نسبت!K61</f>
        <v>1</v>
      </c>
      <c r="L58" s="37" t="n">
        <f aca="false">IF($P$58=$P$57*($P$57-1)/2,GEOMEAN(C58:F58),"")</f>
        <v>1.18920711500272</v>
      </c>
      <c r="M58" s="36" t="n">
        <f aca="false">IF($P$58=$P$57*($P$57-1)/2,L58/SUM($L$57:$L$60),"")</f>
        <v>0.285714285714286</v>
      </c>
      <c r="O58" s="48" t="s">
        <v>230</v>
      </c>
      <c r="P58" s="11" t="n">
        <f aca="false">(COUNT(C57:F60)-$P$57)/2</f>
        <v>6</v>
      </c>
      <c r="Q58" s="8" t="s">
        <v>139</v>
      </c>
      <c r="T58" s="30" t="n">
        <f aca="false">IF(AND(ISNUMBER(E58),ISNUMBER($M58),ISNUMBER($M59)),MAX(E58*$M59/$M58,$M58/(E58*$M59)),"")</f>
        <v>1</v>
      </c>
      <c r="U58" s="30" t="n">
        <f aca="false">IF(AND(ISNUMBER(F58),ISNUMBER($M58),ISNUMBER($M60)),MAX(F58*$M60/$M58,$M58/(F58*$M60)),"")</f>
        <v>1</v>
      </c>
      <c r="AA58" s="49" t="n">
        <f aca="false">IF(COUNT(R58:U58)=0,"",MAX(R58:U58))</f>
        <v>1</v>
      </c>
    </row>
    <row r="59" customFormat="false" ht="27" hidden="false" customHeight="true" outlineLevel="0" collapsed="false">
      <c r="A59" s="19" t="s">
        <v>141</v>
      </c>
      <c r="B59" s="9" t="s">
        <v>142</v>
      </c>
      <c r="C59" s="31" t="n">
        <f aca="false">IF(ISNUMBER(E57),1/E57,"")</f>
        <v>0.5</v>
      </c>
      <c r="D59" s="31" t="n">
        <f aca="false">IF(ISNUMBER(E58),1/E58,"")</f>
        <v>0.5</v>
      </c>
      <c r="E59" s="31" t="n">
        <v>1</v>
      </c>
      <c r="F59" s="31" t="n">
        <f aca="false">نسبت!K62</f>
        <v>0.5</v>
      </c>
      <c r="L59" s="37" t="n">
        <f aca="false">IF($P$58=$P$57*($P$57-1)/2,GEOMEAN(C59:F59),"")</f>
        <v>0.594603557501361</v>
      </c>
      <c r="M59" s="36" t="n">
        <f aca="false">IF($P$58=$P$57*($P$57-1)/2,L59/SUM($L$57:$L$60),"")</f>
        <v>0.142857142857143</v>
      </c>
      <c r="O59" s="48" t="s">
        <v>231</v>
      </c>
      <c r="P59" s="37" t="n">
        <f aca="false">IF($P$58=$P$57*($P$57-1)/2,SUMPRODUCT(C61:F61,C62:F62),"")</f>
        <v>4</v>
      </c>
      <c r="Q59" s="8" t="s">
        <v>141</v>
      </c>
      <c r="U59" s="30" t="n">
        <f aca="false">IF(AND(ISNUMBER(F59),ISNUMBER($M59),ISNUMBER($M60)),MAX(F59*$M60/$M59,$M59/(F59*$M60)),"")</f>
        <v>1</v>
      </c>
      <c r="AA59" s="49" t="n">
        <f aca="false">IF(COUNT(R59:U59)=0,"",MAX(R59:U59))</f>
        <v>1</v>
      </c>
    </row>
    <row r="60" customFormat="false" ht="27" hidden="false" customHeight="true" outlineLevel="0" collapsed="false">
      <c r="A60" s="19" t="s">
        <v>143</v>
      </c>
      <c r="B60" s="9" t="s">
        <v>144</v>
      </c>
      <c r="C60" s="31" t="n">
        <f aca="false">IF(ISNUMBER(F57),1/F57,"")</f>
        <v>1</v>
      </c>
      <c r="D60" s="31" t="n">
        <f aca="false">IF(ISNUMBER(F58),1/F58,"")</f>
        <v>1</v>
      </c>
      <c r="E60" s="31" t="n">
        <f aca="false">IF(ISNUMBER(F59),1/F59,"")</f>
        <v>2</v>
      </c>
      <c r="F60" s="31" t="n">
        <v>1</v>
      </c>
      <c r="L60" s="37" t="n">
        <f aca="false">IF($P$58=$P$57*($P$57-1)/2,GEOMEAN(C60:F60),"")</f>
        <v>1.18920711500272</v>
      </c>
      <c r="M60" s="36" t="n">
        <f aca="false">IF($P$58=$P$57*($P$57-1)/2,L60/SUM($L$57:$L$60),"")</f>
        <v>0.285714285714286</v>
      </c>
      <c r="O60" s="48" t="s">
        <v>48</v>
      </c>
      <c r="P60" s="37" t="n">
        <f aca="false">IF(ISNUMBER(P59),(P59-$P$57)/($P$57-1),"")</f>
        <v>0</v>
      </c>
      <c r="Q60" s="8" t="s">
        <v>143</v>
      </c>
    </row>
    <row r="61" customFormat="false" ht="15" hidden="false" customHeight="false" outlineLevel="0" collapsed="false">
      <c r="A61" s="50"/>
      <c r="B61" s="51" t="s">
        <v>235</v>
      </c>
      <c r="C61" s="52" t="n">
        <f aca="false">IF($P$58=$P$57*($P$57-1)/2,SUM(C57:C60),"")</f>
        <v>3.5</v>
      </c>
      <c r="D61" s="52" t="n">
        <f aca="false">IF($P$58=$P$57*($P$57-1)/2,SUM(D57:D60),"")</f>
        <v>3.5</v>
      </c>
      <c r="E61" s="52" t="n">
        <f aca="false">IF($P$58=$P$57*($P$57-1)/2,SUM(E57:E60),"")</f>
        <v>7</v>
      </c>
      <c r="F61" s="52" t="n">
        <f aca="false">IF($P$58=$P$57*($P$57-1)/2,SUM(F57:F60),"")</f>
        <v>3.5</v>
      </c>
      <c r="M61" s="53" t="n">
        <f aca="false">IF($P$58=$P$57*($P$57-1)/2,SUM(M57:M60),"")</f>
        <v>1</v>
      </c>
      <c r="O61" s="48" t="s">
        <v>232</v>
      </c>
      <c r="P61" s="30" t="n">
        <f aca="false">INDEX(راهنما!$C$29:$C$38,MATCH($P$57,راهنما!$B$29:$B$38,0))</f>
        <v>0.9</v>
      </c>
    </row>
    <row r="62" customFormat="false" ht="15" hidden="false" customHeight="false" outlineLevel="0" collapsed="false">
      <c r="A62" s="50"/>
      <c r="B62" s="51" t="s">
        <v>236</v>
      </c>
      <c r="C62" s="53" t="n">
        <f aca="false">M57</f>
        <v>0.285714285714286</v>
      </c>
      <c r="D62" s="53" t="n">
        <f aca="false">M58</f>
        <v>0.285714285714286</v>
      </c>
      <c r="E62" s="53" t="n">
        <f aca="false">M59</f>
        <v>0.142857142857143</v>
      </c>
      <c r="F62" s="53" t="n">
        <f aca="false">M60</f>
        <v>0.285714285714286</v>
      </c>
      <c r="O62" s="48" t="s">
        <v>50</v>
      </c>
      <c r="P62" s="41" t="n">
        <f aca="false">IF(ISNUMBER(P60),IF(P61=0,0,MAX(0,P60)/P61),"")</f>
        <v>0</v>
      </c>
    </row>
    <row r="63" customFormat="false" ht="15" hidden="false" customHeight="false" outlineLevel="0" collapsed="false">
      <c r="O63" s="48" t="s">
        <v>83</v>
      </c>
      <c r="P63" s="10" t="str">
        <f aca="false">IF(NOT($P$58=$P$57*($P$57-1)/2),"ناقص",IF(P62&lt;=$P$3,"سازگار","ناسازگار"))</f>
        <v>سازگار</v>
      </c>
    </row>
    <row r="64" customFormat="false" ht="15" hidden="false" customHeight="false" outlineLevel="0" collapsed="false">
      <c r="O64" s="48" t="s">
        <v>233</v>
      </c>
      <c r="P64" s="30" t="n">
        <f aca="false">IF(COUNT(AA57:AA60)=0,"",MAX(AA57:AA60))</f>
        <v>1</v>
      </c>
    </row>
    <row r="65" customFormat="false" ht="15" hidden="false" customHeight="false" outlineLevel="0" collapsed="false">
      <c r="O65" s="48" t="s">
        <v>234</v>
      </c>
      <c r="P65" s="19" t="str">
        <f aca="false">IF(ISNUMBER(P64),INDEX(A57:A60,MATCH(P64,AA57:AA60,0))&amp;" و "&amp;INDEX(C56:F56,MATCH(P64,INDEX(R57:U60,MATCH(P64,AA57:AA60,0),0),0)),"")</f>
        <v>گ۱۱ و گ۱۲</v>
      </c>
    </row>
    <row r="67" customFormat="false" ht="15" hidden="false" customHeight="false" outlineLevel="0" collapsed="false">
      <c r="A67" s="45" t="s">
        <v>241</v>
      </c>
      <c r="B67" s="45"/>
      <c r="C67" s="45"/>
      <c r="D67" s="45"/>
      <c r="E67" s="45"/>
      <c r="F67" s="45"/>
      <c r="G67" s="45"/>
      <c r="H67" s="45"/>
      <c r="I67" s="45"/>
      <c r="J67" s="45"/>
      <c r="K67" s="45"/>
      <c r="L67" s="45"/>
      <c r="M67" s="45"/>
      <c r="Q67" s="46" t="s">
        <v>224</v>
      </c>
      <c r="R67" s="46"/>
      <c r="S67" s="46"/>
      <c r="T67" s="46"/>
      <c r="U67" s="46"/>
      <c r="V67" s="46"/>
      <c r="W67" s="46"/>
      <c r="X67" s="46"/>
      <c r="Y67" s="46"/>
      <c r="Z67" s="46"/>
      <c r="AA67" s="46"/>
    </row>
    <row r="68" customFormat="false" ht="27.75" hidden="false" customHeight="true" outlineLevel="0" collapsed="false">
      <c r="A68" s="8" t="s">
        <v>199</v>
      </c>
      <c r="B68" s="8" t="s">
        <v>225</v>
      </c>
      <c r="C68" s="8" t="s">
        <v>145</v>
      </c>
      <c r="D68" s="8" t="s">
        <v>147</v>
      </c>
      <c r="E68" s="8" t="s">
        <v>149</v>
      </c>
      <c r="F68" s="8" t="s">
        <v>151</v>
      </c>
      <c r="L68" s="7" t="s">
        <v>226</v>
      </c>
      <c r="M68" s="8" t="s">
        <v>227</v>
      </c>
      <c r="Q68" s="8" t="s">
        <v>199</v>
      </c>
      <c r="R68" s="8" t="s">
        <v>145</v>
      </c>
      <c r="S68" s="8" t="s">
        <v>147</v>
      </c>
      <c r="T68" s="8" t="s">
        <v>149</v>
      </c>
      <c r="U68" s="8" t="s">
        <v>151</v>
      </c>
      <c r="AA68" s="47" t="s">
        <v>228</v>
      </c>
    </row>
    <row r="69" customFormat="false" ht="27" hidden="false" customHeight="true" outlineLevel="0" collapsed="false">
      <c r="A69" s="19" t="s">
        <v>145</v>
      </c>
      <c r="B69" s="9" t="s">
        <v>146</v>
      </c>
      <c r="C69" s="31" t="n">
        <v>1</v>
      </c>
      <c r="D69" s="31" t="n">
        <f aca="false">نسبت!K63</f>
        <v>2</v>
      </c>
      <c r="E69" s="31" t="n">
        <f aca="false">نسبت!K64</f>
        <v>2</v>
      </c>
      <c r="F69" s="31" t="n">
        <f aca="false">نسبت!K65</f>
        <v>2</v>
      </c>
      <c r="L69" s="37" t="n">
        <f aca="false">IF($P$70=$P$69*($P$69-1)/2,GEOMEAN(C69:F69),"")</f>
        <v>1.68179283050743</v>
      </c>
      <c r="M69" s="36" t="n">
        <f aca="false">IF($P$70=$P$69*($P$69-1)/2,L69/SUM($L$69:$L$72),"")</f>
        <v>0.4</v>
      </c>
      <c r="O69" s="48" t="s">
        <v>229</v>
      </c>
      <c r="P69" s="11" t="n">
        <f aca="false">ROWS(A69:A72)</f>
        <v>4</v>
      </c>
      <c r="Q69" s="8" t="s">
        <v>145</v>
      </c>
      <c r="S69" s="30" t="n">
        <f aca="false">IF(AND(ISNUMBER(D69),ISNUMBER($M69),ISNUMBER($M70)),MAX(D69*$M70/$M69,$M69/(D69*$M70)),"")</f>
        <v>1</v>
      </c>
      <c r="T69" s="30" t="n">
        <f aca="false">IF(AND(ISNUMBER(E69),ISNUMBER($M69),ISNUMBER($M71)),MAX(E69*$M71/$M69,$M69/(E69*$M71)),"")</f>
        <v>1</v>
      </c>
      <c r="U69" s="30" t="n">
        <f aca="false">IF(AND(ISNUMBER(F69),ISNUMBER($M69),ISNUMBER($M72)),MAX(F69*$M72/$M69,$M69/(F69*$M72)),"")</f>
        <v>1</v>
      </c>
      <c r="AA69" s="49" t="n">
        <f aca="false">IF(COUNT(R69:U69)=0,"",MAX(R69:U69))</f>
        <v>1</v>
      </c>
    </row>
    <row r="70" customFormat="false" ht="27" hidden="false" customHeight="true" outlineLevel="0" collapsed="false">
      <c r="A70" s="19" t="s">
        <v>147</v>
      </c>
      <c r="B70" s="9" t="s">
        <v>148</v>
      </c>
      <c r="C70" s="31" t="n">
        <f aca="false">IF(ISNUMBER(D69),1/D69,"")</f>
        <v>0.5</v>
      </c>
      <c r="D70" s="31" t="n">
        <v>1</v>
      </c>
      <c r="E70" s="31" t="n">
        <f aca="false">نسبت!K66</f>
        <v>1</v>
      </c>
      <c r="F70" s="31" t="n">
        <f aca="false">نسبت!K67</f>
        <v>1</v>
      </c>
      <c r="L70" s="37" t="n">
        <f aca="false">IF($P$70=$P$69*($P$69-1)/2,GEOMEAN(C70:F70),"")</f>
        <v>0.840896415253715</v>
      </c>
      <c r="M70" s="36" t="n">
        <f aca="false">IF($P$70=$P$69*($P$69-1)/2,L70/SUM($L$69:$L$72),"")</f>
        <v>0.2</v>
      </c>
      <c r="O70" s="48" t="s">
        <v>230</v>
      </c>
      <c r="P70" s="11" t="n">
        <f aca="false">(COUNT(C69:F72)-$P$69)/2</f>
        <v>6</v>
      </c>
      <c r="Q70" s="8" t="s">
        <v>147</v>
      </c>
      <c r="T70" s="30" t="n">
        <f aca="false">IF(AND(ISNUMBER(E70),ISNUMBER($M70),ISNUMBER($M71)),MAX(E70*$M71/$M70,$M70/(E70*$M71)),"")</f>
        <v>1</v>
      </c>
      <c r="U70" s="30" t="n">
        <f aca="false">IF(AND(ISNUMBER(F70),ISNUMBER($M70),ISNUMBER($M72)),MAX(F70*$M72/$M70,$M70/(F70*$M72)),"")</f>
        <v>1</v>
      </c>
      <c r="AA70" s="49" t="n">
        <f aca="false">IF(COUNT(R70:U70)=0,"",MAX(R70:U70))</f>
        <v>1</v>
      </c>
    </row>
    <row r="71" customFormat="false" ht="27" hidden="false" customHeight="true" outlineLevel="0" collapsed="false">
      <c r="A71" s="19" t="s">
        <v>149</v>
      </c>
      <c r="B71" s="9" t="s">
        <v>150</v>
      </c>
      <c r="C71" s="31" t="n">
        <f aca="false">IF(ISNUMBER(E69),1/E69,"")</f>
        <v>0.5</v>
      </c>
      <c r="D71" s="31" t="n">
        <f aca="false">IF(ISNUMBER(E70),1/E70,"")</f>
        <v>1</v>
      </c>
      <c r="E71" s="31" t="n">
        <v>1</v>
      </c>
      <c r="F71" s="31" t="n">
        <f aca="false">نسبت!K68</f>
        <v>1</v>
      </c>
      <c r="L71" s="37" t="n">
        <f aca="false">IF($P$70=$P$69*($P$69-1)/2,GEOMEAN(C71:F71),"")</f>
        <v>0.840896415253715</v>
      </c>
      <c r="M71" s="36" t="n">
        <f aca="false">IF($P$70=$P$69*($P$69-1)/2,L71/SUM($L$69:$L$72),"")</f>
        <v>0.2</v>
      </c>
      <c r="O71" s="48" t="s">
        <v>231</v>
      </c>
      <c r="P71" s="37" t="n">
        <f aca="false">IF($P$70=$P$69*($P$69-1)/2,SUMPRODUCT(C73:F73,C74:F74),"")</f>
        <v>4</v>
      </c>
      <c r="Q71" s="8" t="s">
        <v>149</v>
      </c>
      <c r="U71" s="30" t="n">
        <f aca="false">IF(AND(ISNUMBER(F71),ISNUMBER($M71),ISNUMBER($M72)),MAX(F71*$M72/$M71,$M71/(F71*$M72)),"")</f>
        <v>1</v>
      </c>
      <c r="AA71" s="49" t="n">
        <f aca="false">IF(COUNT(R71:U71)=0,"",MAX(R71:U71))</f>
        <v>1</v>
      </c>
    </row>
    <row r="72" customFormat="false" ht="27" hidden="false" customHeight="true" outlineLevel="0" collapsed="false">
      <c r="A72" s="19" t="s">
        <v>151</v>
      </c>
      <c r="B72" s="9" t="s">
        <v>152</v>
      </c>
      <c r="C72" s="31" t="n">
        <f aca="false">IF(ISNUMBER(F69),1/F69,"")</f>
        <v>0.5</v>
      </c>
      <c r="D72" s="31" t="n">
        <f aca="false">IF(ISNUMBER(F70),1/F70,"")</f>
        <v>1</v>
      </c>
      <c r="E72" s="31" t="n">
        <f aca="false">IF(ISNUMBER(F71),1/F71,"")</f>
        <v>1</v>
      </c>
      <c r="F72" s="31" t="n">
        <v>1</v>
      </c>
      <c r="L72" s="37" t="n">
        <f aca="false">IF($P$70=$P$69*($P$69-1)/2,GEOMEAN(C72:F72),"")</f>
        <v>0.840896415253715</v>
      </c>
      <c r="M72" s="36" t="n">
        <f aca="false">IF($P$70=$P$69*($P$69-1)/2,L72/SUM($L$69:$L$72),"")</f>
        <v>0.2</v>
      </c>
      <c r="O72" s="48" t="s">
        <v>48</v>
      </c>
      <c r="P72" s="37" t="n">
        <f aca="false">IF(ISNUMBER(P71),(P71-$P$69)/($P$69-1),"")</f>
        <v>0</v>
      </c>
      <c r="Q72" s="8" t="s">
        <v>151</v>
      </c>
    </row>
    <row r="73" customFormat="false" ht="15" hidden="false" customHeight="false" outlineLevel="0" collapsed="false">
      <c r="A73" s="50"/>
      <c r="B73" s="51" t="s">
        <v>235</v>
      </c>
      <c r="C73" s="52" t="n">
        <f aca="false">IF($P$70=$P$69*($P$69-1)/2,SUM(C69:C72),"")</f>
        <v>2.5</v>
      </c>
      <c r="D73" s="52" t="n">
        <f aca="false">IF($P$70=$P$69*($P$69-1)/2,SUM(D69:D72),"")</f>
        <v>5</v>
      </c>
      <c r="E73" s="52" t="n">
        <f aca="false">IF($P$70=$P$69*($P$69-1)/2,SUM(E69:E72),"")</f>
        <v>5</v>
      </c>
      <c r="F73" s="52" t="n">
        <f aca="false">IF($P$70=$P$69*($P$69-1)/2,SUM(F69:F72),"")</f>
        <v>5</v>
      </c>
      <c r="M73" s="53" t="n">
        <f aca="false">IF($P$70=$P$69*($P$69-1)/2,SUM(M69:M72),"")</f>
        <v>1</v>
      </c>
      <c r="O73" s="48" t="s">
        <v>232</v>
      </c>
      <c r="P73" s="30" t="n">
        <f aca="false">INDEX(راهنما!$C$29:$C$38,MATCH($P$69,راهنما!$B$29:$B$38,0))</f>
        <v>0.9</v>
      </c>
    </row>
    <row r="74" customFormat="false" ht="15" hidden="false" customHeight="false" outlineLevel="0" collapsed="false">
      <c r="A74" s="50"/>
      <c r="B74" s="51" t="s">
        <v>236</v>
      </c>
      <c r="C74" s="53" t="n">
        <f aca="false">M69</f>
        <v>0.4</v>
      </c>
      <c r="D74" s="53" t="n">
        <f aca="false">M70</f>
        <v>0.2</v>
      </c>
      <c r="E74" s="53" t="n">
        <f aca="false">M71</f>
        <v>0.2</v>
      </c>
      <c r="F74" s="53" t="n">
        <f aca="false">M72</f>
        <v>0.2</v>
      </c>
      <c r="O74" s="48" t="s">
        <v>50</v>
      </c>
      <c r="P74" s="41" t="n">
        <f aca="false">IF(ISNUMBER(P72),IF(P73=0,0,MAX(0,P72)/P73),"")</f>
        <v>0</v>
      </c>
    </row>
    <row r="75" customFormat="false" ht="15" hidden="false" customHeight="false" outlineLevel="0" collapsed="false">
      <c r="O75" s="48" t="s">
        <v>83</v>
      </c>
      <c r="P75" s="10" t="str">
        <f aca="false">IF(NOT($P$70=$P$69*($P$69-1)/2),"ناقص",IF(P74&lt;=$P$3,"سازگار","ناسازگار"))</f>
        <v>سازگار</v>
      </c>
    </row>
    <row r="76" customFormat="false" ht="15" hidden="false" customHeight="false" outlineLevel="0" collapsed="false">
      <c r="O76" s="48" t="s">
        <v>233</v>
      </c>
      <c r="P76" s="30" t="n">
        <f aca="false">IF(COUNT(AA69:AA72)=0,"",MAX(AA69:AA72))</f>
        <v>1</v>
      </c>
    </row>
    <row r="77" customFormat="false" ht="15" hidden="false" customHeight="false" outlineLevel="0" collapsed="false">
      <c r="O77" s="48" t="s">
        <v>234</v>
      </c>
      <c r="P77" s="19" t="str">
        <f aca="false">IF(ISNUMBER(P76),INDEX(A69:A72,MATCH(P76,AA69:AA72,0))&amp;" و "&amp;INDEX(C68:F68,MATCH(P76,INDEX(R69:U72,MATCH(P76,AA69:AA72,0),0),0)),"")</f>
        <v>گ۱۵ و گ۱۶</v>
      </c>
    </row>
    <row r="79" customFormat="false" ht="15" hidden="false" customHeight="false" outlineLevel="0" collapsed="false">
      <c r="A79" s="45" t="s">
        <v>242</v>
      </c>
      <c r="B79" s="45"/>
      <c r="C79" s="45"/>
      <c r="D79" s="45"/>
      <c r="E79" s="45"/>
      <c r="F79" s="45"/>
      <c r="G79" s="45"/>
      <c r="H79" s="45"/>
      <c r="I79" s="45"/>
      <c r="J79" s="45"/>
      <c r="K79" s="45"/>
      <c r="L79" s="45"/>
      <c r="M79" s="45"/>
      <c r="Q79" s="46" t="s">
        <v>224</v>
      </c>
      <c r="R79" s="46"/>
      <c r="S79" s="46"/>
      <c r="T79" s="46"/>
      <c r="U79" s="46"/>
      <c r="V79" s="46"/>
      <c r="W79" s="46"/>
      <c r="X79" s="46"/>
      <c r="Y79" s="46"/>
      <c r="Z79" s="46"/>
      <c r="AA79" s="46"/>
    </row>
    <row r="80" customFormat="false" ht="27.75" hidden="false" customHeight="true" outlineLevel="0" collapsed="false">
      <c r="A80" s="8" t="s">
        <v>199</v>
      </c>
      <c r="B80" s="8" t="s">
        <v>225</v>
      </c>
      <c r="C80" s="8" t="s">
        <v>153</v>
      </c>
      <c r="D80" s="8" t="s">
        <v>155</v>
      </c>
      <c r="E80" s="8" t="s">
        <v>157</v>
      </c>
      <c r="L80" s="7" t="s">
        <v>226</v>
      </c>
      <c r="M80" s="8" t="s">
        <v>227</v>
      </c>
      <c r="Q80" s="8" t="s">
        <v>199</v>
      </c>
      <c r="R80" s="8" t="s">
        <v>153</v>
      </c>
      <c r="S80" s="8" t="s">
        <v>155</v>
      </c>
      <c r="T80" s="8" t="s">
        <v>157</v>
      </c>
      <c r="AA80" s="47" t="s">
        <v>228</v>
      </c>
    </row>
    <row r="81" customFormat="false" ht="27" hidden="false" customHeight="true" outlineLevel="0" collapsed="false">
      <c r="A81" s="19" t="s">
        <v>153</v>
      </c>
      <c r="B81" s="9" t="s">
        <v>154</v>
      </c>
      <c r="C81" s="31" t="n">
        <v>1</v>
      </c>
      <c r="D81" s="31" t="n">
        <f aca="false">نسبت!K69</f>
        <v>2</v>
      </c>
      <c r="E81" s="31" t="n">
        <f aca="false">نسبت!K70</f>
        <v>2</v>
      </c>
      <c r="L81" s="37" t="n">
        <f aca="false">IF($P$82=$P$81*($P$81-1)/2,GEOMEAN(C81:E81),"")</f>
        <v>1.5874010519682</v>
      </c>
      <c r="M81" s="36" t="n">
        <f aca="false">IF($P$82=$P$81*($P$81-1)/2,L81/SUM($L$81:$L$83),"")</f>
        <v>0.5</v>
      </c>
      <c r="O81" s="48" t="s">
        <v>229</v>
      </c>
      <c r="P81" s="11" t="n">
        <f aca="false">ROWS(A81:A83)</f>
        <v>3</v>
      </c>
      <c r="Q81" s="8" t="s">
        <v>153</v>
      </c>
      <c r="S81" s="30" t="n">
        <f aca="false">IF(AND(ISNUMBER(D81),ISNUMBER($M81),ISNUMBER($M82)),MAX(D81*$M82/$M81,$M81/(D81*$M82)),"")</f>
        <v>1</v>
      </c>
      <c r="T81" s="30" t="n">
        <f aca="false">IF(AND(ISNUMBER(E81),ISNUMBER($M81),ISNUMBER($M83)),MAX(E81*$M83/$M81,$M81/(E81*$M83)),"")</f>
        <v>1</v>
      </c>
      <c r="AA81" s="49" t="n">
        <f aca="false">IF(COUNT(R81:T81)=0,"",MAX(R81:T81))</f>
        <v>1</v>
      </c>
    </row>
    <row r="82" customFormat="false" ht="27" hidden="false" customHeight="true" outlineLevel="0" collapsed="false">
      <c r="A82" s="19" t="s">
        <v>155</v>
      </c>
      <c r="B82" s="9" t="s">
        <v>156</v>
      </c>
      <c r="C82" s="31" t="n">
        <f aca="false">IF(ISNUMBER(D81),1/D81,"")</f>
        <v>0.5</v>
      </c>
      <c r="D82" s="31" t="n">
        <v>1</v>
      </c>
      <c r="E82" s="31" t="n">
        <f aca="false">نسبت!K71</f>
        <v>1</v>
      </c>
      <c r="L82" s="37" t="n">
        <f aca="false">IF($P$82=$P$81*($P$81-1)/2,GEOMEAN(C82:E82),"")</f>
        <v>0.7937005259841</v>
      </c>
      <c r="M82" s="36" t="n">
        <f aca="false">IF($P$82=$P$81*($P$81-1)/2,L82/SUM($L$81:$L$83),"")</f>
        <v>0.25</v>
      </c>
      <c r="O82" s="48" t="s">
        <v>230</v>
      </c>
      <c r="P82" s="11" t="n">
        <f aca="false">(COUNT(C81:E83)-$P$81)/2</f>
        <v>3</v>
      </c>
      <c r="Q82" s="8" t="s">
        <v>155</v>
      </c>
      <c r="T82" s="30" t="n">
        <f aca="false">IF(AND(ISNUMBER(E82),ISNUMBER($M82),ISNUMBER($M83)),MAX(E82*$M83/$M82,$M82/(E82*$M83)),"")</f>
        <v>1</v>
      </c>
      <c r="AA82" s="49" t="n">
        <f aca="false">IF(COUNT(R82:T82)=0,"",MAX(R82:T82))</f>
        <v>1</v>
      </c>
    </row>
    <row r="83" customFormat="false" ht="27" hidden="false" customHeight="true" outlineLevel="0" collapsed="false">
      <c r="A83" s="19" t="s">
        <v>157</v>
      </c>
      <c r="B83" s="9" t="s">
        <v>158</v>
      </c>
      <c r="C83" s="31" t="n">
        <f aca="false">IF(ISNUMBER(E81),1/E81,"")</f>
        <v>0.5</v>
      </c>
      <c r="D83" s="31" t="n">
        <f aca="false">IF(ISNUMBER(E82),1/E82,"")</f>
        <v>1</v>
      </c>
      <c r="E83" s="31" t="n">
        <v>1</v>
      </c>
      <c r="L83" s="37" t="n">
        <f aca="false">IF($P$82=$P$81*($P$81-1)/2,GEOMEAN(C83:E83),"")</f>
        <v>0.7937005259841</v>
      </c>
      <c r="M83" s="36" t="n">
        <f aca="false">IF($P$82=$P$81*($P$81-1)/2,L83/SUM($L$81:$L$83),"")</f>
        <v>0.25</v>
      </c>
      <c r="O83" s="48" t="s">
        <v>231</v>
      </c>
      <c r="P83" s="37" t="n">
        <f aca="false">IF($P$82=$P$81*($P$81-1)/2,SUMPRODUCT(C84:E84,C85:E85),"")</f>
        <v>3</v>
      </c>
      <c r="Q83" s="8" t="s">
        <v>157</v>
      </c>
    </row>
    <row r="84" customFormat="false" ht="15" hidden="false" customHeight="false" outlineLevel="0" collapsed="false">
      <c r="A84" s="50"/>
      <c r="B84" s="51" t="s">
        <v>235</v>
      </c>
      <c r="C84" s="52" t="n">
        <f aca="false">IF($P$82=$P$81*($P$81-1)/2,SUM(C81:C83),"")</f>
        <v>2</v>
      </c>
      <c r="D84" s="52" t="n">
        <f aca="false">IF($P$82=$P$81*($P$81-1)/2,SUM(D81:D83),"")</f>
        <v>4</v>
      </c>
      <c r="E84" s="52" t="n">
        <f aca="false">IF($P$82=$P$81*($P$81-1)/2,SUM(E81:E83),"")</f>
        <v>4</v>
      </c>
      <c r="M84" s="53" t="n">
        <f aca="false">IF($P$82=$P$81*($P$81-1)/2,SUM(M81:M83),"")</f>
        <v>1</v>
      </c>
      <c r="O84" s="48" t="s">
        <v>48</v>
      </c>
      <c r="P84" s="37" t="n">
        <f aca="false">IF(ISNUMBER(P83),(P83-$P$81)/($P$81-1),"")</f>
        <v>0</v>
      </c>
    </row>
    <row r="85" customFormat="false" ht="15" hidden="false" customHeight="false" outlineLevel="0" collapsed="false">
      <c r="A85" s="50"/>
      <c r="B85" s="51" t="s">
        <v>236</v>
      </c>
      <c r="C85" s="53" t="n">
        <f aca="false">M81</f>
        <v>0.5</v>
      </c>
      <c r="D85" s="53" t="n">
        <f aca="false">M82</f>
        <v>0.25</v>
      </c>
      <c r="E85" s="53" t="n">
        <f aca="false">M83</f>
        <v>0.25</v>
      </c>
      <c r="O85" s="48" t="s">
        <v>232</v>
      </c>
      <c r="P85" s="30" t="n">
        <f aca="false">INDEX(راهنما!$C$29:$C$38,MATCH($P$81,راهنما!$B$29:$B$38,0))</f>
        <v>0.58</v>
      </c>
    </row>
    <row r="86" customFormat="false" ht="15" hidden="false" customHeight="false" outlineLevel="0" collapsed="false">
      <c r="O86" s="48" t="s">
        <v>50</v>
      </c>
      <c r="P86" s="41" t="n">
        <f aca="false">IF(ISNUMBER(P84),IF(P85=0,0,MAX(0,P84)/P85),"")</f>
        <v>0</v>
      </c>
    </row>
    <row r="87" customFormat="false" ht="15" hidden="false" customHeight="false" outlineLevel="0" collapsed="false">
      <c r="O87" s="48" t="s">
        <v>83</v>
      </c>
      <c r="P87" s="10" t="str">
        <f aca="false">IF(NOT($P$82=$P$81*($P$81-1)/2),"ناقص",IF(P86&lt;=$P$3,"سازگار","ناسازگار"))</f>
        <v>سازگار</v>
      </c>
    </row>
    <row r="88" customFormat="false" ht="15" hidden="false" customHeight="false" outlineLevel="0" collapsed="false">
      <c r="O88" s="48" t="s">
        <v>233</v>
      </c>
      <c r="P88" s="30" t="n">
        <f aca="false">IF(COUNT(AA81:AA83)=0,"",MAX(AA81:AA83))</f>
        <v>1</v>
      </c>
    </row>
    <row r="89" customFormat="false" ht="15" hidden="false" customHeight="false" outlineLevel="0" collapsed="false">
      <c r="O89" s="48" t="s">
        <v>234</v>
      </c>
      <c r="P89" s="19" t="str">
        <f aca="false">IF(ISNUMBER(P88),INDEX(A81:A83,MATCH(P88,AA81:AA83,0))&amp;" و "&amp;INDEX(C80:E80,MATCH(P88,INDEX(R81:T83,MATCH(P88,AA81:AA83,0),0),0)),"")</f>
        <v>گ۱۹ و گ۲۰</v>
      </c>
    </row>
    <row r="91" customFormat="false" ht="15" hidden="false" customHeight="false" outlineLevel="0" collapsed="false">
      <c r="A91" s="45" t="s">
        <v>243</v>
      </c>
      <c r="B91" s="45"/>
      <c r="C91" s="45"/>
      <c r="D91" s="45"/>
      <c r="E91" s="45"/>
      <c r="F91" s="45"/>
      <c r="G91" s="45"/>
      <c r="H91" s="45"/>
      <c r="I91" s="45"/>
      <c r="J91" s="45"/>
      <c r="K91" s="45"/>
      <c r="L91" s="45"/>
      <c r="M91" s="45"/>
      <c r="Q91" s="46" t="s">
        <v>224</v>
      </c>
      <c r="R91" s="46"/>
      <c r="S91" s="46"/>
      <c r="T91" s="46"/>
      <c r="U91" s="46"/>
      <c r="V91" s="46"/>
      <c r="W91" s="46"/>
      <c r="X91" s="46"/>
      <c r="Y91" s="46"/>
      <c r="Z91" s="46"/>
      <c r="AA91" s="46"/>
    </row>
    <row r="92" customFormat="false" ht="27.75" hidden="false" customHeight="true" outlineLevel="0" collapsed="false">
      <c r="A92" s="8" t="s">
        <v>199</v>
      </c>
      <c r="B92" s="8" t="s">
        <v>225</v>
      </c>
      <c r="C92" s="8" t="s">
        <v>159</v>
      </c>
      <c r="D92" s="8" t="s">
        <v>161</v>
      </c>
      <c r="E92" s="8" t="s">
        <v>163</v>
      </c>
      <c r="L92" s="7" t="s">
        <v>226</v>
      </c>
      <c r="M92" s="8" t="s">
        <v>227</v>
      </c>
      <c r="Q92" s="8" t="s">
        <v>199</v>
      </c>
      <c r="R92" s="8" t="s">
        <v>159</v>
      </c>
      <c r="S92" s="8" t="s">
        <v>161</v>
      </c>
      <c r="T92" s="8" t="s">
        <v>163</v>
      </c>
      <c r="AA92" s="47" t="s">
        <v>228</v>
      </c>
    </row>
    <row r="93" customFormat="false" ht="27" hidden="false" customHeight="true" outlineLevel="0" collapsed="false">
      <c r="A93" s="19" t="s">
        <v>159</v>
      </c>
      <c r="B93" s="9" t="s">
        <v>160</v>
      </c>
      <c r="C93" s="31" t="n">
        <v>1</v>
      </c>
      <c r="D93" s="31" t="n">
        <f aca="false">نسبت!K72</f>
        <v>1</v>
      </c>
      <c r="E93" s="31" t="n">
        <f aca="false">نسبت!K73</f>
        <v>1</v>
      </c>
      <c r="L93" s="37" t="n">
        <f aca="false">IF($P$94=$P$93*($P$93-1)/2,GEOMEAN(C93:E93),"")</f>
        <v>1</v>
      </c>
      <c r="M93" s="36" t="n">
        <f aca="false">IF($P$94=$P$93*($P$93-1)/2,L93/SUM($L$93:$L$95),"")</f>
        <v>0.333333333333333</v>
      </c>
      <c r="O93" s="48" t="s">
        <v>229</v>
      </c>
      <c r="P93" s="11" t="n">
        <f aca="false">ROWS(A93:A95)</f>
        <v>3</v>
      </c>
      <c r="Q93" s="8" t="s">
        <v>159</v>
      </c>
      <c r="S93" s="30" t="n">
        <f aca="false">IF(AND(ISNUMBER(D93),ISNUMBER($M93),ISNUMBER($M94)),MAX(D93*$M94/$M93,$M93/(D93*$M94)),"")</f>
        <v>1</v>
      </c>
      <c r="T93" s="30" t="n">
        <f aca="false">IF(AND(ISNUMBER(E93),ISNUMBER($M93),ISNUMBER($M95)),MAX(E93*$M95/$M93,$M93/(E93*$M95)),"")</f>
        <v>1</v>
      </c>
      <c r="AA93" s="49" t="n">
        <f aca="false">IF(COUNT(R93:T93)=0,"",MAX(R93:T93))</f>
        <v>1</v>
      </c>
    </row>
    <row r="94" customFormat="false" ht="27" hidden="false" customHeight="true" outlineLevel="0" collapsed="false">
      <c r="A94" s="19" t="s">
        <v>161</v>
      </c>
      <c r="B94" s="9" t="s">
        <v>162</v>
      </c>
      <c r="C94" s="31" t="n">
        <f aca="false">IF(ISNUMBER(D93),1/D93,"")</f>
        <v>1</v>
      </c>
      <c r="D94" s="31" t="n">
        <v>1</v>
      </c>
      <c r="E94" s="31" t="n">
        <f aca="false">نسبت!K74</f>
        <v>1</v>
      </c>
      <c r="L94" s="37" t="n">
        <f aca="false">IF($P$94=$P$93*($P$93-1)/2,GEOMEAN(C94:E94),"")</f>
        <v>1</v>
      </c>
      <c r="M94" s="36" t="n">
        <f aca="false">IF($P$94=$P$93*($P$93-1)/2,L94/SUM($L$93:$L$95),"")</f>
        <v>0.333333333333333</v>
      </c>
      <c r="O94" s="48" t="s">
        <v>230</v>
      </c>
      <c r="P94" s="11" t="n">
        <f aca="false">(COUNT(C93:E95)-$P$93)/2</f>
        <v>3</v>
      </c>
      <c r="Q94" s="8" t="s">
        <v>161</v>
      </c>
      <c r="T94" s="30" t="n">
        <f aca="false">IF(AND(ISNUMBER(E94),ISNUMBER($M94),ISNUMBER($M95)),MAX(E94*$M95/$M94,$M94/(E94*$M95)),"")</f>
        <v>1</v>
      </c>
      <c r="AA94" s="49" t="n">
        <f aca="false">IF(COUNT(R94:T94)=0,"",MAX(R94:T94))</f>
        <v>1</v>
      </c>
    </row>
    <row r="95" customFormat="false" ht="27" hidden="false" customHeight="true" outlineLevel="0" collapsed="false">
      <c r="A95" s="19" t="s">
        <v>163</v>
      </c>
      <c r="B95" s="9" t="s">
        <v>164</v>
      </c>
      <c r="C95" s="31" t="n">
        <f aca="false">IF(ISNUMBER(E93),1/E93,"")</f>
        <v>1</v>
      </c>
      <c r="D95" s="31" t="n">
        <f aca="false">IF(ISNUMBER(E94),1/E94,"")</f>
        <v>1</v>
      </c>
      <c r="E95" s="31" t="n">
        <v>1</v>
      </c>
      <c r="L95" s="37" t="n">
        <f aca="false">IF($P$94=$P$93*($P$93-1)/2,GEOMEAN(C95:E95),"")</f>
        <v>1</v>
      </c>
      <c r="M95" s="36" t="n">
        <f aca="false">IF($P$94=$P$93*($P$93-1)/2,L95/SUM($L$93:$L$95),"")</f>
        <v>0.333333333333333</v>
      </c>
      <c r="O95" s="48" t="s">
        <v>231</v>
      </c>
      <c r="P95" s="37" t="n">
        <f aca="false">IF($P$94=$P$93*($P$93-1)/2,SUMPRODUCT(C96:E96,C97:E97),"")</f>
        <v>3</v>
      </c>
      <c r="Q95" s="8" t="s">
        <v>163</v>
      </c>
    </row>
    <row r="96" customFormat="false" ht="15" hidden="false" customHeight="false" outlineLevel="0" collapsed="false">
      <c r="A96" s="50"/>
      <c r="B96" s="51" t="s">
        <v>235</v>
      </c>
      <c r="C96" s="52" t="n">
        <f aca="false">IF($P$94=$P$93*($P$93-1)/2,SUM(C93:C95),"")</f>
        <v>3</v>
      </c>
      <c r="D96" s="52" t="n">
        <f aca="false">IF($P$94=$P$93*($P$93-1)/2,SUM(D93:D95),"")</f>
        <v>3</v>
      </c>
      <c r="E96" s="52" t="n">
        <f aca="false">IF($P$94=$P$93*($P$93-1)/2,SUM(E93:E95),"")</f>
        <v>3</v>
      </c>
      <c r="M96" s="53" t="n">
        <f aca="false">IF($P$94=$P$93*($P$93-1)/2,SUM(M93:M95),"")</f>
        <v>1</v>
      </c>
      <c r="O96" s="48" t="s">
        <v>48</v>
      </c>
      <c r="P96" s="37" t="n">
        <f aca="false">IF(ISNUMBER(P95),(P95-$P$93)/($P$93-1),"")</f>
        <v>0</v>
      </c>
    </row>
    <row r="97" customFormat="false" ht="15" hidden="false" customHeight="false" outlineLevel="0" collapsed="false">
      <c r="A97" s="50"/>
      <c r="B97" s="51" t="s">
        <v>236</v>
      </c>
      <c r="C97" s="53" t="n">
        <f aca="false">M93</f>
        <v>0.333333333333333</v>
      </c>
      <c r="D97" s="53" t="n">
        <f aca="false">M94</f>
        <v>0.333333333333333</v>
      </c>
      <c r="E97" s="53" t="n">
        <f aca="false">M95</f>
        <v>0.333333333333333</v>
      </c>
      <c r="O97" s="48" t="s">
        <v>232</v>
      </c>
      <c r="P97" s="30" t="n">
        <f aca="false">INDEX(راهنما!$C$29:$C$38,MATCH($P$93,راهنما!$B$29:$B$38,0))</f>
        <v>0.58</v>
      </c>
    </row>
    <row r="98" customFormat="false" ht="15" hidden="false" customHeight="false" outlineLevel="0" collapsed="false">
      <c r="O98" s="48" t="s">
        <v>50</v>
      </c>
      <c r="P98" s="41" t="n">
        <f aca="false">IF(ISNUMBER(P96),IF(P97=0,0,MAX(0,P96)/P97),"")</f>
        <v>0</v>
      </c>
    </row>
    <row r="99" customFormat="false" ht="15" hidden="false" customHeight="false" outlineLevel="0" collapsed="false">
      <c r="O99" s="48" t="s">
        <v>83</v>
      </c>
      <c r="P99" s="10" t="str">
        <f aca="false">IF(NOT($P$94=$P$93*($P$93-1)/2),"ناقص",IF(P98&lt;=$P$3,"سازگار","ناسازگار"))</f>
        <v>سازگار</v>
      </c>
    </row>
    <row r="100" customFormat="false" ht="15" hidden="false" customHeight="false" outlineLevel="0" collapsed="false">
      <c r="O100" s="48" t="s">
        <v>233</v>
      </c>
      <c r="P100" s="30" t="n">
        <f aca="false">IF(COUNT(AA93:AA95)=0,"",MAX(AA93:AA95))</f>
        <v>1</v>
      </c>
    </row>
    <row r="101" customFormat="false" ht="15" hidden="false" customHeight="false" outlineLevel="0" collapsed="false">
      <c r="O101" s="48" t="s">
        <v>234</v>
      </c>
      <c r="P101" s="19" t="str">
        <f aca="false">IF(ISNUMBER(P100),INDEX(A93:A95,MATCH(P100,AA93:AA95,0))&amp;" و "&amp;INDEX(C92:E92,MATCH(P100,INDEX(R93:T95,MATCH(P100,AA93:AA95,0),0),0)),"")</f>
        <v>گ۲۲ و گ۲۳</v>
      </c>
    </row>
    <row r="103" customFormat="false" ht="15" hidden="false" customHeight="false" outlineLevel="0" collapsed="false">
      <c r="A103" s="45" t="s">
        <v>244</v>
      </c>
      <c r="B103" s="45"/>
      <c r="C103" s="45"/>
      <c r="D103" s="45"/>
      <c r="E103" s="45"/>
      <c r="F103" s="45"/>
      <c r="G103" s="45"/>
      <c r="H103" s="45"/>
      <c r="I103" s="45"/>
      <c r="J103" s="45"/>
      <c r="K103" s="45"/>
      <c r="L103" s="45"/>
      <c r="M103" s="45"/>
      <c r="Q103" s="46" t="s">
        <v>224</v>
      </c>
      <c r="R103" s="46"/>
      <c r="S103" s="46"/>
      <c r="T103" s="46"/>
      <c r="U103" s="46"/>
      <c r="V103" s="46"/>
      <c r="W103" s="46"/>
      <c r="X103" s="46"/>
      <c r="Y103" s="46"/>
      <c r="Z103" s="46"/>
      <c r="AA103" s="46"/>
    </row>
    <row r="104" customFormat="false" ht="27.75" hidden="false" customHeight="true" outlineLevel="0" collapsed="false">
      <c r="A104" s="8" t="s">
        <v>199</v>
      </c>
      <c r="B104" s="8" t="s">
        <v>225</v>
      </c>
      <c r="C104" s="8" t="s">
        <v>165</v>
      </c>
      <c r="D104" s="8" t="s">
        <v>167</v>
      </c>
      <c r="E104" s="8" t="s">
        <v>169</v>
      </c>
      <c r="L104" s="7" t="s">
        <v>226</v>
      </c>
      <c r="M104" s="8" t="s">
        <v>227</v>
      </c>
      <c r="Q104" s="8" t="s">
        <v>199</v>
      </c>
      <c r="R104" s="8" t="s">
        <v>165</v>
      </c>
      <c r="S104" s="8" t="s">
        <v>167</v>
      </c>
      <c r="T104" s="8" t="s">
        <v>169</v>
      </c>
      <c r="AA104" s="47" t="s">
        <v>228</v>
      </c>
    </row>
    <row r="105" customFormat="false" ht="27" hidden="false" customHeight="true" outlineLevel="0" collapsed="false">
      <c r="A105" s="19" t="s">
        <v>165</v>
      </c>
      <c r="B105" s="9" t="s">
        <v>166</v>
      </c>
      <c r="C105" s="31" t="n">
        <v>1</v>
      </c>
      <c r="D105" s="31" t="n">
        <f aca="false">نسبت!K75</f>
        <v>1</v>
      </c>
      <c r="E105" s="31" t="n">
        <f aca="false">نسبت!K76</f>
        <v>1</v>
      </c>
      <c r="L105" s="37" t="n">
        <f aca="false">IF($P$106=$P$105*($P$105-1)/2,GEOMEAN(C105:E105),"")</f>
        <v>1</v>
      </c>
      <c r="M105" s="36" t="n">
        <f aca="false">IF($P$106=$P$105*($P$105-1)/2,L105/SUM($L$105:$L$107),"")</f>
        <v>0.333333333333333</v>
      </c>
      <c r="O105" s="48" t="s">
        <v>229</v>
      </c>
      <c r="P105" s="11" t="n">
        <f aca="false">ROWS(A105:A107)</f>
        <v>3</v>
      </c>
      <c r="Q105" s="8" t="s">
        <v>165</v>
      </c>
      <c r="S105" s="30" t="n">
        <f aca="false">IF(AND(ISNUMBER(D105),ISNUMBER($M105),ISNUMBER($M106)),MAX(D105*$M106/$M105,$M105/(D105*$M106)),"")</f>
        <v>1</v>
      </c>
      <c r="T105" s="30" t="n">
        <f aca="false">IF(AND(ISNUMBER(E105),ISNUMBER($M105),ISNUMBER($M107)),MAX(E105*$M107/$M105,$M105/(E105*$M107)),"")</f>
        <v>1</v>
      </c>
      <c r="AA105" s="49" t="n">
        <f aca="false">IF(COUNT(R105:T105)=0,"",MAX(R105:T105))</f>
        <v>1</v>
      </c>
    </row>
    <row r="106" customFormat="false" ht="27" hidden="false" customHeight="true" outlineLevel="0" collapsed="false">
      <c r="A106" s="19" t="s">
        <v>167</v>
      </c>
      <c r="B106" s="9" t="s">
        <v>168</v>
      </c>
      <c r="C106" s="31" t="n">
        <f aca="false">IF(ISNUMBER(D105),1/D105,"")</f>
        <v>1</v>
      </c>
      <c r="D106" s="31" t="n">
        <v>1</v>
      </c>
      <c r="E106" s="31" t="n">
        <f aca="false">نسبت!K77</f>
        <v>1</v>
      </c>
      <c r="L106" s="37" t="n">
        <f aca="false">IF($P$106=$P$105*($P$105-1)/2,GEOMEAN(C106:E106),"")</f>
        <v>1</v>
      </c>
      <c r="M106" s="36" t="n">
        <f aca="false">IF($P$106=$P$105*($P$105-1)/2,L106/SUM($L$105:$L$107),"")</f>
        <v>0.333333333333333</v>
      </c>
      <c r="O106" s="48" t="s">
        <v>230</v>
      </c>
      <c r="P106" s="11" t="n">
        <f aca="false">(COUNT(C105:E107)-$P$105)/2</f>
        <v>3</v>
      </c>
      <c r="Q106" s="8" t="s">
        <v>167</v>
      </c>
      <c r="T106" s="30" t="n">
        <f aca="false">IF(AND(ISNUMBER(E106),ISNUMBER($M106),ISNUMBER($M107)),MAX(E106*$M107/$M106,$M106/(E106*$M107)),"")</f>
        <v>1</v>
      </c>
      <c r="AA106" s="49" t="n">
        <f aca="false">IF(COUNT(R106:T106)=0,"",MAX(R106:T106))</f>
        <v>1</v>
      </c>
    </row>
    <row r="107" customFormat="false" ht="27" hidden="false" customHeight="true" outlineLevel="0" collapsed="false">
      <c r="A107" s="19" t="s">
        <v>169</v>
      </c>
      <c r="B107" s="9" t="s">
        <v>170</v>
      </c>
      <c r="C107" s="31" t="n">
        <f aca="false">IF(ISNUMBER(E105),1/E105,"")</f>
        <v>1</v>
      </c>
      <c r="D107" s="31" t="n">
        <f aca="false">IF(ISNUMBER(E106),1/E106,"")</f>
        <v>1</v>
      </c>
      <c r="E107" s="31" t="n">
        <v>1</v>
      </c>
      <c r="L107" s="37" t="n">
        <f aca="false">IF($P$106=$P$105*($P$105-1)/2,GEOMEAN(C107:E107),"")</f>
        <v>1</v>
      </c>
      <c r="M107" s="36" t="n">
        <f aca="false">IF($P$106=$P$105*($P$105-1)/2,L107/SUM($L$105:$L$107),"")</f>
        <v>0.333333333333333</v>
      </c>
      <c r="O107" s="48" t="s">
        <v>231</v>
      </c>
      <c r="P107" s="37" t="n">
        <f aca="false">IF($P$106=$P$105*($P$105-1)/2,SUMPRODUCT(C108:E108,C109:E109),"")</f>
        <v>3</v>
      </c>
      <c r="Q107" s="8" t="s">
        <v>169</v>
      </c>
    </row>
    <row r="108" customFormat="false" ht="15" hidden="false" customHeight="false" outlineLevel="0" collapsed="false">
      <c r="A108" s="50"/>
      <c r="B108" s="51" t="s">
        <v>235</v>
      </c>
      <c r="C108" s="52" t="n">
        <f aca="false">IF($P$106=$P$105*($P$105-1)/2,SUM(C105:C107),"")</f>
        <v>3</v>
      </c>
      <c r="D108" s="52" t="n">
        <f aca="false">IF($P$106=$P$105*($P$105-1)/2,SUM(D105:D107),"")</f>
        <v>3</v>
      </c>
      <c r="E108" s="52" t="n">
        <f aca="false">IF($P$106=$P$105*($P$105-1)/2,SUM(E105:E107),"")</f>
        <v>3</v>
      </c>
      <c r="M108" s="53" t="n">
        <f aca="false">IF($P$106=$P$105*($P$105-1)/2,SUM(M105:M107),"")</f>
        <v>1</v>
      </c>
      <c r="O108" s="48" t="s">
        <v>48</v>
      </c>
      <c r="P108" s="37" t="n">
        <f aca="false">IF(ISNUMBER(P107),(P107-$P$105)/($P$105-1),"")</f>
        <v>0</v>
      </c>
    </row>
    <row r="109" customFormat="false" ht="15" hidden="false" customHeight="false" outlineLevel="0" collapsed="false">
      <c r="A109" s="50"/>
      <c r="B109" s="51" t="s">
        <v>236</v>
      </c>
      <c r="C109" s="53" t="n">
        <f aca="false">M105</f>
        <v>0.333333333333333</v>
      </c>
      <c r="D109" s="53" t="n">
        <f aca="false">M106</f>
        <v>0.333333333333333</v>
      </c>
      <c r="E109" s="53" t="n">
        <f aca="false">M107</f>
        <v>0.333333333333333</v>
      </c>
      <c r="O109" s="48" t="s">
        <v>232</v>
      </c>
      <c r="P109" s="30" t="n">
        <f aca="false">INDEX(راهنما!$C$29:$C$38,MATCH($P$105,راهنما!$B$29:$B$38,0))</f>
        <v>0.58</v>
      </c>
    </row>
    <row r="110" customFormat="false" ht="15" hidden="false" customHeight="false" outlineLevel="0" collapsed="false">
      <c r="O110" s="48" t="s">
        <v>50</v>
      </c>
      <c r="P110" s="41" t="n">
        <f aca="false">IF(ISNUMBER(P108),IF(P109=0,0,MAX(0,P108)/P109),"")</f>
        <v>0</v>
      </c>
    </row>
    <row r="111" customFormat="false" ht="15" hidden="false" customHeight="false" outlineLevel="0" collapsed="false">
      <c r="O111" s="48" t="s">
        <v>83</v>
      </c>
      <c r="P111" s="10" t="str">
        <f aca="false">IF(NOT($P$106=$P$105*($P$105-1)/2),"ناقص",IF(P110&lt;=$P$3,"سازگار","ناسازگار"))</f>
        <v>سازگار</v>
      </c>
    </row>
    <row r="112" customFormat="false" ht="15" hidden="false" customHeight="false" outlineLevel="0" collapsed="false">
      <c r="O112" s="48" t="s">
        <v>233</v>
      </c>
      <c r="P112" s="30" t="n">
        <f aca="false">IF(COUNT(AA105:AA107)=0,"",MAX(AA105:AA107))</f>
        <v>1</v>
      </c>
    </row>
    <row r="113" customFormat="false" ht="15" hidden="false" customHeight="false" outlineLevel="0" collapsed="false">
      <c r="O113" s="48" t="s">
        <v>234</v>
      </c>
      <c r="P113" s="19" t="str">
        <f aca="false">IF(ISNUMBER(P112),INDEX(A105:A107,MATCH(P112,AA105:AA107,0))&amp;" و "&amp;INDEX(C104:E104,MATCH(P112,INDEX(R105:T107,MATCH(P112,AA105:AA107,0),0),0)),"")</f>
        <v>گ۲۵ و گ۲۶</v>
      </c>
    </row>
    <row r="115" customFormat="false" ht="15" hidden="false" customHeight="false" outlineLevel="0" collapsed="false">
      <c r="A115" s="45" t="s">
        <v>245</v>
      </c>
      <c r="B115" s="45"/>
      <c r="C115" s="45"/>
      <c r="D115" s="45"/>
      <c r="E115" s="45"/>
      <c r="F115" s="45"/>
      <c r="G115" s="45"/>
      <c r="H115" s="45"/>
      <c r="I115" s="45"/>
      <c r="J115" s="45"/>
      <c r="K115" s="45"/>
      <c r="L115" s="45"/>
      <c r="M115" s="45"/>
      <c r="Q115" s="46" t="s">
        <v>224</v>
      </c>
      <c r="R115" s="46"/>
      <c r="S115" s="46"/>
      <c r="T115" s="46"/>
      <c r="U115" s="46"/>
      <c r="V115" s="46"/>
      <c r="W115" s="46"/>
      <c r="X115" s="46"/>
      <c r="Y115" s="46"/>
      <c r="Z115" s="46"/>
      <c r="AA115" s="46"/>
    </row>
    <row r="116" customFormat="false" ht="27.75" hidden="false" customHeight="true" outlineLevel="0" collapsed="false">
      <c r="A116" s="8" t="s">
        <v>199</v>
      </c>
      <c r="B116" s="8" t="s">
        <v>225</v>
      </c>
      <c r="C116" s="8" t="s">
        <v>171</v>
      </c>
      <c r="D116" s="8" t="s">
        <v>173</v>
      </c>
      <c r="L116" s="7" t="s">
        <v>226</v>
      </c>
      <c r="M116" s="8" t="s">
        <v>227</v>
      </c>
      <c r="Q116" s="8" t="s">
        <v>199</v>
      </c>
      <c r="R116" s="8" t="s">
        <v>171</v>
      </c>
      <c r="S116" s="8" t="s">
        <v>173</v>
      </c>
      <c r="AA116" s="47" t="s">
        <v>228</v>
      </c>
    </row>
    <row r="117" customFormat="false" ht="27" hidden="false" customHeight="true" outlineLevel="0" collapsed="false">
      <c r="A117" s="19" t="s">
        <v>171</v>
      </c>
      <c r="B117" s="9" t="s">
        <v>172</v>
      </c>
      <c r="C117" s="31" t="n">
        <v>1</v>
      </c>
      <c r="D117" s="31" t="n">
        <f aca="false">نسبت!K78</f>
        <v>2</v>
      </c>
      <c r="L117" s="37" t="n">
        <f aca="false">IF($P$118=$P$117*($P$117-1)/2,GEOMEAN(C117:D117),"")</f>
        <v>1.4142135623731</v>
      </c>
      <c r="M117" s="36" t="n">
        <f aca="false">IF($P$118=$P$117*($P$117-1)/2,L117/SUM($L$117:$L$118),"")</f>
        <v>0.666666666666667</v>
      </c>
      <c r="O117" s="48" t="s">
        <v>229</v>
      </c>
      <c r="P117" s="11" t="n">
        <f aca="false">ROWS(A117:A118)</f>
        <v>2</v>
      </c>
      <c r="Q117" s="8" t="s">
        <v>171</v>
      </c>
      <c r="S117" s="30" t="n">
        <f aca="false">IF(AND(ISNUMBER(D117),ISNUMBER($M117),ISNUMBER($M118)),MAX(D117*$M118/$M117,$M117/(D117*$M118)),"")</f>
        <v>1</v>
      </c>
      <c r="AA117" s="49" t="n">
        <f aca="false">IF(COUNT(R117:S117)=0,"",MAX(R117:S117))</f>
        <v>1</v>
      </c>
    </row>
    <row r="118" customFormat="false" ht="27" hidden="false" customHeight="true" outlineLevel="0" collapsed="false">
      <c r="A118" s="19" t="s">
        <v>173</v>
      </c>
      <c r="B118" s="9" t="s">
        <v>174</v>
      </c>
      <c r="C118" s="31" t="n">
        <f aca="false">IF(ISNUMBER(D117),1/D117,"")</f>
        <v>0.5</v>
      </c>
      <c r="D118" s="31" t="n">
        <v>1</v>
      </c>
      <c r="L118" s="37" t="n">
        <f aca="false">IF($P$118=$P$117*($P$117-1)/2,GEOMEAN(C118:D118),"")</f>
        <v>0.707106781186548</v>
      </c>
      <c r="M118" s="36" t="n">
        <f aca="false">IF($P$118=$P$117*($P$117-1)/2,L118/SUM($L$117:$L$118),"")</f>
        <v>0.333333333333333</v>
      </c>
      <c r="O118" s="48" t="s">
        <v>230</v>
      </c>
      <c r="P118" s="11" t="n">
        <f aca="false">(COUNT(C117:D118)-$P$117)/2</f>
        <v>1</v>
      </c>
      <c r="Q118" s="8" t="s">
        <v>173</v>
      </c>
    </row>
    <row r="119" customFormat="false" ht="15" hidden="false" customHeight="false" outlineLevel="0" collapsed="false">
      <c r="A119" s="50"/>
      <c r="B119" s="51" t="s">
        <v>235</v>
      </c>
      <c r="C119" s="52" t="n">
        <f aca="false">IF($P$118=$P$117*($P$117-1)/2,SUM(C117:C118),"")</f>
        <v>1.5</v>
      </c>
      <c r="D119" s="52" t="n">
        <f aca="false">IF($P$118=$P$117*($P$117-1)/2,SUM(D117:D118),"")</f>
        <v>3</v>
      </c>
      <c r="M119" s="53" t="n">
        <f aca="false">IF($P$118=$P$117*($P$117-1)/2,SUM(M117:M118),"")</f>
        <v>1</v>
      </c>
      <c r="O119" s="48" t="s">
        <v>231</v>
      </c>
      <c r="P119" s="37" t="n">
        <f aca="false">IF($P$118=$P$117*($P$117-1)/2,SUMPRODUCT(C119:D119,C120:D120),"")</f>
        <v>2</v>
      </c>
    </row>
    <row r="120" customFormat="false" ht="15" hidden="false" customHeight="false" outlineLevel="0" collapsed="false">
      <c r="A120" s="50"/>
      <c r="B120" s="51" t="s">
        <v>236</v>
      </c>
      <c r="C120" s="53" t="n">
        <f aca="false">M117</f>
        <v>0.666666666666667</v>
      </c>
      <c r="D120" s="53" t="n">
        <f aca="false">M118</f>
        <v>0.333333333333333</v>
      </c>
      <c r="O120" s="48" t="s">
        <v>48</v>
      </c>
      <c r="P120" s="37" t="n">
        <f aca="false">IF(ISNUMBER(P119),(P119-$P$117)/($P$117-1),"")</f>
        <v>0</v>
      </c>
    </row>
    <row r="121" customFormat="false" ht="15" hidden="false" customHeight="false" outlineLevel="0" collapsed="false">
      <c r="O121" s="48" t="s">
        <v>232</v>
      </c>
      <c r="P121" s="30" t="n">
        <f aca="false">INDEX(راهنما!$C$29:$C$38,MATCH($P$117,راهنما!$B$29:$B$38,0))</f>
        <v>0</v>
      </c>
    </row>
    <row r="122" customFormat="false" ht="15" hidden="false" customHeight="false" outlineLevel="0" collapsed="false">
      <c r="O122" s="48" t="s">
        <v>50</v>
      </c>
      <c r="P122" s="41" t="n">
        <f aca="false">IF(ISNUMBER(P120),IF(P121=0,0,MAX(0,P120)/P121),"")</f>
        <v>0</v>
      </c>
    </row>
    <row r="123" customFormat="false" ht="15" hidden="false" customHeight="false" outlineLevel="0" collapsed="false">
      <c r="O123" s="48" t="s">
        <v>83</v>
      </c>
      <c r="P123" s="10" t="str">
        <f aca="false">IF(NOT($P$118=$P$117*($P$117-1)/2),"ناقص",IF(P122&lt;=$P$3,"سازگار","ناسازگار"))</f>
        <v>سازگار</v>
      </c>
    </row>
    <row r="124" customFormat="false" ht="15" hidden="false" customHeight="false" outlineLevel="0" collapsed="false">
      <c r="O124" s="48" t="s">
        <v>233</v>
      </c>
      <c r="P124" s="30" t="n">
        <f aca="false">IF(COUNT(AA117:AA118)=0,"",MAX(AA117:AA118))</f>
        <v>1</v>
      </c>
    </row>
    <row r="125" customFormat="false" ht="15" hidden="false" customHeight="false" outlineLevel="0" collapsed="false">
      <c r="O125" s="48" t="s">
        <v>234</v>
      </c>
      <c r="P125" s="19" t="str">
        <f aca="false">IF(ISNUMBER(P124),INDEX(A117:A118,MATCH(P124,AA117:AA118,0))&amp;" و "&amp;INDEX(C116:D116,MATCH(P124,INDEX(R117:S118,MATCH(P124,AA117:AA118,0),0),0)),"")</f>
        <v>گ۲۸ و گ۲۹</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257</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2" t="s">
        <v>258</v>
      </c>
    </row>
    <row r="3" customFormat="false" ht="15" hidden="false" customHeight="false" outlineLevel="0" collapsed="false">
      <c r="A3" s="43" t="s">
        <v>248</v>
      </c>
      <c r="B3" s="54" t="n">
        <f aca="false">COUNT(ورودی!L9:L78)</f>
        <v>70</v>
      </c>
      <c r="O3" s="25" t="s">
        <v>177</v>
      </c>
      <c r="P3" s="30" t="n">
        <f aca="false">راهنما!$C$26</f>
        <v>0.1</v>
      </c>
    </row>
    <row r="5" customFormat="false" ht="15" hidden="false" customHeight="false" outlineLevel="0" collapsed="false">
      <c r="A5" s="45" t="s">
        <v>223</v>
      </c>
      <c r="B5" s="45"/>
      <c r="C5" s="45"/>
      <c r="D5" s="45"/>
      <c r="E5" s="45"/>
      <c r="F5" s="45"/>
      <c r="G5" s="45"/>
      <c r="H5" s="45"/>
      <c r="I5" s="45"/>
      <c r="J5" s="45"/>
      <c r="K5" s="45"/>
      <c r="L5" s="45"/>
      <c r="M5" s="45"/>
      <c r="Q5" s="46" t="s">
        <v>224</v>
      </c>
      <c r="R5" s="46"/>
      <c r="S5" s="46"/>
      <c r="T5" s="46"/>
      <c r="U5" s="46"/>
      <c r="V5" s="46"/>
      <c r="W5" s="46"/>
      <c r="X5" s="46"/>
      <c r="Y5" s="46"/>
      <c r="Z5" s="46"/>
      <c r="AA5" s="46"/>
    </row>
    <row r="6" customFormat="false" ht="27.75" hidden="false" customHeight="true" outlineLevel="0" collapsed="false">
      <c r="A6" s="8" t="s">
        <v>199</v>
      </c>
      <c r="B6" s="8" t="s">
        <v>225</v>
      </c>
      <c r="C6" s="8" t="s">
        <v>98</v>
      </c>
      <c r="D6" s="8" t="s">
        <v>100</v>
      </c>
      <c r="E6" s="8" t="s">
        <v>102</v>
      </c>
      <c r="F6" s="8" t="s">
        <v>104</v>
      </c>
      <c r="G6" s="8" t="s">
        <v>106</v>
      </c>
      <c r="H6" s="8" t="s">
        <v>108</v>
      </c>
      <c r="I6" s="8" t="s">
        <v>110</v>
      </c>
      <c r="J6" s="8" t="s">
        <v>112</v>
      </c>
      <c r="K6" s="8" t="s">
        <v>114</v>
      </c>
      <c r="L6" s="7" t="s">
        <v>226</v>
      </c>
      <c r="M6" s="8" t="s">
        <v>227</v>
      </c>
      <c r="Q6" s="8" t="s">
        <v>199</v>
      </c>
      <c r="R6" s="8" t="s">
        <v>98</v>
      </c>
      <c r="S6" s="8" t="s">
        <v>100</v>
      </c>
      <c r="T6" s="8" t="s">
        <v>102</v>
      </c>
      <c r="U6" s="8" t="s">
        <v>104</v>
      </c>
      <c r="V6" s="8" t="s">
        <v>106</v>
      </c>
      <c r="W6" s="8" t="s">
        <v>108</v>
      </c>
      <c r="X6" s="8" t="s">
        <v>110</v>
      </c>
      <c r="Y6" s="8" t="s">
        <v>112</v>
      </c>
      <c r="Z6" s="8" t="s">
        <v>114</v>
      </c>
      <c r="AA6" s="47" t="s">
        <v>228</v>
      </c>
    </row>
    <row r="7" customFormat="false" ht="27" hidden="false" customHeight="true" outlineLevel="0" collapsed="false">
      <c r="A7" s="19" t="s">
        <v>98</v>
      </c>
      <c r="B7" s="9" t="s">
        <v>99</v>
      </c>
      <c r="C7" s="31" t="n">
        <v>1</v>
      </c>
      <c r="D7" s="31" t="n">
        <f aca="false">نسبت!L9</f>
        <v>2</v>
      </c>
      <c r="E7" s="31" t="n">
        <f aca="false">نسبت!L10</f>
        <v>1</v>
      </c>
      <c r="F7" s="31" t="n">
        <f aca="false">نسبت!L11</f>
        <v>1</v>
      </c>
      <c r="G7" s="31" t="n">
        <f aca="false">نسبت!L12</f>
        <v>1</v>
      </c>
      <c r="H7" s="31" t="n">
        <f aca="false">نسبت!L13</f>
        <v>1</v>
      </c>
      <c r="I7" s="31" t="n">
        <f aca="false">نسبت!L14</f>
        <v>1</v>
      </c>
      <c r="J7" s="31" t="n">
        <f aca="false">نسبت!L15</f>
        <v>1</v>
      </c>
      <c r="K7" s="31" t="n">
        <f aca="false">نسبت!L16</f>
        <v>0.5</v>
      </c>
      <c r="L7" s="37" t="n">
        <f aca="false">IF($P$8=$P$7*($P$7-1)/2,GEOMEAN(C7:K7),"")</f>
        <v>1</v>
      </c>
      <c r="M7" s="36" t="n">
        <f aca="false">IF($P$8=$P$7*($P$7-1)/2,L7/SUM($L$7:$L$15),"")</f>
        <v>0.107556671716168</v>
      </c>
      <c r="O7" s="48" t="s">
        <v>229</v>
      </c>
      <c r="P7" s="11" t="n">
        <f aca="false">ROWS(A7:A15)</f>
        <v>9</v>
      </c>
      <c r="Q7" s="8" t="s">
        <v>98</v>
      </c>
      <c r="S7" s="30" t="n">
        <f aca="false">IF(AND(ISNUMBER(D7),ISNUMBER($M7),ISNUMBER($M8)),MAX(D7*$M8/$M7,$M7/(D7*$M8)),"")</f>
        <v>1.16652903957612</v>
      </c>
      <c r="T7" s="30" t="n">
        <f aca="false">IF(AND(ISNUMBER(E7),ISNUMBER($M7),ISNUMBER($M9)),MAX(E7*$M9/$M7,$M7/(E7*$M9)),"")</f>
        <v>1.25992104989487</v>
      </c>
      <c r="U7" s="30" t="n">
        <f aca="false">IF(AND(ISNUMBER(F7),ISNUMBER($M7),ISNUMBER($M10)),MAX(F7*$M10/$M7,$M7/(F7*$M10)),"")</f>
        <v>1</v>
      </c>
      <c r="V7" s="30" t="n">
        <f aca="false">IF(AND(ISNUMBER(G7),ISNUMBER($M7),ISNUMBER($M11)),MAX(G7*$M11/$M7,$M7/(G7*$M11)),"")</f>
        <v>1</v>
      </c>
      <c r="W7" s="30" t="n">
        <f aca="false">IF(AND(ISNUMBER(H7),ISNUMBER($M7),ISNUMBER($M12)),MAX(H7*$M12/$M7,$M7/(H7*$M12)),"")</f>
        <v>1.16652903957612</v>
      </c>
      <c r="X7" s="30" t="n">
        <f aca="false">IF(AND(ISNUMBER(I7),ISNUMBER($M7),ISNUMBER($M13)),MAX(I7*$M13/$M7,$M7/(I7*$M13)),"")</f>
        <v>1.16652903957612</v>
      </c>
      <c r="Y7" s="30" t="n">
        <f aca="false">IF(AND(ISNUMBER(J7),ISNUMBER($M7),ISNUMBER($M14)),MAX(J7*$M14/$M7,$M7/(J7*$M14)),"")</f>
        <v>1</v>
      </c>
      <c r="Z7" s="30" t="n">
        <f aca="false">IF(AND(ISNUMBER(K7),ISNUMBER($M7),ISNUMBER($M15)),MAX(K7*$M15/$M7,$M7/(K7*$M15)),"")</f>
        <v>1.25992104989487</v>
      </c>
      <c r="AA7" s="49" t="n">
        <f aca="false">IF(COUNT(R7:Z7)=0,"",MAX(R7:Z7))</f>
        <v>1.25992104989487</v>
      </c>
    </row>
    <row r="8" customFormat="false" ht="27" hidden="false" customHeight="true" outlineLevel="0" collapsed="false">
      <c r="A8" s="19" t="s">
        <v>100</v>
      </c>
      <c r="B8" s="9" t="s">
        <v>101</v>
      </c>
      <c r="C8" s="31" t="n">
        <f aca="false">IF(ISNUMBER(D7),1/D7,"")</f>
        <v>0.5</v>
      </c>
      <c r="D8" s="31" t="n">
        <v>1</v>
      </c>
      <c r="E8" s="31" t="n">
        <f aca="false">نسبت!L17</f>
        <v>1</v>
      </c>
      <c r="F8" s="31" t="n">
        <f aca="false">نسبت!L18</f>
        <v>0.5</v>
      </c>
      <c r="G8" s="31" t="n">
        <f aca="false">نسبت!L19</f>
        <v>0.5</v>
      </c>
      <c r="H8" s="31" t="n">
        <f aca="false">نسبت!L20</f>
        <v>0.5</v>
      </c>
      <c r="I8" s="31" t="n">
        <f aca="false">نسبت!L21</f>
        <v>0.5</v>
      </c>
      <c r="J8" s="31" t="n">
        <f aca="false">نسبت!L22</f>
        <v>0.5</v>
      </c>
      <c r="K8" s="31" t="n">
        <f aca="false">نسبت!L23</f>
        <v>0.5</v>
      </c>
      <c r="L8" s="37" t="n">
        <f aca="false">IF($P$8=$P$7*($P$7-1)/2,GEOMEAN(C8:K8),"")</f>
        <v>0.583264519788058</v>
      </c>
      <c r="M8" s="36" t="n">
        <f aca="false">IF($P$8=$P$7*($P$7-1)/2,L8/SUM($L$7:$L$15),"")</f>
        <v>0.0627339904785326</v>
      </c>
      <c r="O8" s="48" t="s">
        <v>230</v>
      </c>
      <c r="P8" s="11" t="n">
        <f aca="false">(COUNT(C7:K15)-$P$7)/2</f>
        <v>36</v>
      </c>
      <c r="Q8" s="8" t="s">
        <v>100</v>
      </c>
      <c r="T8" s="30" t="n">
        <f aca="false">IF(AND(ISNUMBER(E8),ISNUMBER($M8),ISNUMBER($M9)),MAX(E8*$M9/$M8,$M8/(E8*$M9)),"")</f>
        <v>1.36079000017438</v>
      </c>
      <c r="U8" s="30" t="n">
        <f aca="false">IF(AND(ISNUMBER(F8),ISNUMBER($M8),ISNUMBER($M10)),MAX(F8*$M10/$M8,$M8/(F8*$M10)),"")</f>
        <v>1.16652903957612</v>
      </c>
      <c r="V8" s="30" t="n">
        <f aca="false">IF(AND(ISNUMBER(G8),ISNUMBER($M8),ISNUMBER($M11)),MAX(G8*$M11/$M8,$M8/(G8*$M11)),"")</f>
        <v>1.16652903957612</v>
      </c>
      <c r="W8" s="30" t="n">
        <f aca="false">IF(AND(ISNUMBER(H8),ISNUMBER($M8),ISNUMBER($M12)),MAX(H8*$M12/$M8,$M8/(H8*$M12)),"")</f>
        <v>1</v>
      </c>
      <c r="X8" s="30" t="n">
        <f aca="false">IF(AND(ISNUMBER(I8),ISNUMBER($M8),ISNUMBER($M13)),MAX(I8*$M13/$M8,$M8/(I8*$M13)),"")</f>
        <v>1</v>
      </c>
      <c r="Y8" s="30" t="n">
        <f aca="false">IF(AND(ISNUMBER(J8),ISNUMBER($M8),ISNUMBER($M14)),MAX(J8*$M14/$M8,$M8/(J8*$M14)),"")</f>
        <v>1.16652903957612</v>
      </c>
      <c r="Z8" s="30" t="n">
        <f aca="false">IF(AND(ISNUMBER(K8),ISNUMBER($M8),ISNUMBER($M15)),MAX(K8*$M15/$M8,$M8/(K8*$M15)),"")</f>
        <v>1.36079000017438</v>
      </c>
      <c r="AA8" s="49" t="n">
        <f aca="false">IF(COUNT(R8:Z8)=0,"",MAX(R8:Z8))</f>
        <v>1.36079000017438</v>
      </c>
    </row>
    <row r="9" customFormat="false" ht="27" hidden="false" customHeight="true" outlineLevel="0" collapsed="false">
      <c r="A9" s="19" t="s">
        <v>102</v>
      </c>
      <c r="B9" s="9" t="s">
        <v>103</v>
      </c>
      <c r="C9" s="31" t="n">
        <f aca="false">IF(ISNUMBER(E7),1/E7,"")</f>
        <v>1</v>
      </c>
      <c r="D9" s="31" t="n">
        <f aca="false">IF(ISNUMBER(E8),1/E8,"")</f>
        <v>1</v>
      </c>
      <c r="E9" s="31" t="n">
        <v>1</v>
      </c>
      <c r="F9" s="31" t="n">
        <f aca="false">نسبت!L24</f>
        <v>1</v>
      </c>
      <c r="G9" s="31" t="n">
        <f aca="false">نسبت!L25</f>
        <v>1</v>
      </c>
      <c r="H9" s="31" t="n">
        <f aca="false">نسبت!L26</f>
        <v>0.5</v>
      </c>
      <c r="I9" s="31" t="n">
        <f aca="false">نسبت!L27</f>
        <v>0.5</v>
      </c>
      <c r="J9" s="31" t="n">
        <f aca="false">نسبت!L28</f>
        <v>1</v>
      </c>
      <c r="K9" s="31" t="n">
        <f aca="false">نسبت!L29</f>
        <v>0.5</v>
      </c>
      <c r="L9" s="37" t="n">
        <f aca="false">IF($P$8=$P$7*($P$7-1)/2,GEOMEAN(C9:K9),"")</f>
        <v>0.7937005259841</v>
      </c>
      <c r="M9" s="36" t="n">
        <f aca="false">IF($P$8=$P$7*($P$7-1)/2,L9/SUM($L$7:$L$15),"")</f>
        <v>0.0853677869142217</v>
      </c>
      <c r="O9" s="48" t="s">
        <v>231</v>
      </c>
      <c r="P9" s="37" t="n">
        <f aca="false">IF($P$8=$P$7*($P$7-1)/2,SUMPRODUCT(C16:K16,C17:K17),"")</f>
        <v>9.14721195412527</v>
      </c>
      <c r="Q9" s="8" t="s">
        <v>102</v>
      </c>
      <c r="U9" s="30" t="n">
        <f aca="false">IF(AND(ISNUMBER(F9),ISNUMBER($M9),ISNUMBER($M10)),MAX(F9*$M10/$M9,$M9/(F9*$M10)),"")</f>
        <v>1.25992104989487</v>
      </c>
      <c r="V9" s="30" t="n">
        <f aca="false">IF(AND(ISNUMBER(G9),ISNUMBER($M9),ISNUMBER($M11)),MAX(G9*$M11/$M9,$M9/(G9*$M11)),"")</f>
        <v>1.25992104989487</v>
      </c>
      <c r="W9" s="30" t="n">
        <f aca="false">IF(AND(ISNUMBER(H9),ISNUMBER($M9),ISNUMBER($M12)),MAX(H9*$M12/$M9,$M9/(H9*$M12)),"")</f>
        <v>1.36079000017438</v>
      </c>
      <c r="X9" s="30" t="n">
        <f aca="false">IF(AND(ISNUMBER(I9),ISNUMBER($M9),ISNUMBER($M13)),MAX(I9*$M13/$M9,$M9/(I9*$M13)),"")</f>
        <v>1.36079000017438</v>
      </c>
      <c r="Y9" s="30" t="n">
        <f aca="false">IF(AND(ISNUMBER(J9),ISNUMBER($M9),ISNUMBER($M14)),MAX(J9*$M14/$M9,$M9/(J9*$M14)),"")</f>
        <v>1.25992104989487</v>
      </c>
      <c r="Z9" s="30" t="n">
        <f aca="false">IF(AND(ISNUMBER(K9),ISNUMBER($M9),ISNUMBER($M15)),MAX(K9*$M15/$M9,$M9/(K9*$M15)),"")</f>
        <v>1</v>
      </c>
      <c r="AA9" s="49" t="n">
        <f aca="false">IF(COUNT(R9:Z9)=0,"",MAX(R9:Z9))</f>
        <v>1.36079000017438</v>
      </c>
    </row>
    <row r="10" customFormat="false" ht="27" hidden="false" customHeight="true" outlineLevel="0" collapsed="false">
      <c r="A10" s="19" t="s">
        <v>104</v>
      </c>
      <c r="B10" s="9" t="s">
        <v>105</v>
      </c>
      <c r="C10" s="31" t="n">
        <f aca="false">IF(ISNUMBER(F7),1/F7,"")</f>
        <v>1</v>
      </c>
      <c r="D10" s="31" t="n">
        <f aca="false">IF(ISNUMBER(F8),1/F8,"")</f>
        <v>2</v>
      </c>
      <c r="E10" s="31" t="n">
        <f aca="false">IF(ISNUMBER(F9),1/F9,"")</f>
        <v>1</v>
      </c>
      <c r="F10" s="31" t="n">
        <v>1</v>
      </c>
      <c r="G10" s="31" t="n">
        <f aca="false">نسبت!L30</f>
        <v>1</v>
      </c>
      <c r="H10" s="31" t="n">
        <f aca="false">نسبت!L31</f>
        <v>1</v>
      </c>
      <c r="I10" s="31" t="n">
        <f aca="false">نسبت!L32</f>
        <v>1</v>
      </c>
      <c r="J10" s="31" t="n">
        <f aca="false">نسبت!L33</f>
        <v>1</v>
      </c>
      <c r="K10" s="31" t="n">
        <f aca="false">نسبت!L34</f>
        <v>0.5</v>
      </c>
      <c r="L10" s="37" t="n">
        <f aca="false">IF($P$8=$P$7*($P$7-1)/2,GEOMEAN(C10:K10),"")</f>
        <v>1</v>
      </c>
      <c r="M10" s="36" t="n">
        <f aca="false">IF($P$8=$P$7*($P$7-1)/2,L10/SUM($L$7:$L$15),"")</f>
        <v>0.107556671716168</v>
      </c>
      <c r="O10" s="48" t="s">
        <v>48</v>
      </c>
      <c r="P10" s="37" t="n">
        <f aca="false">IF(ISNUMBER(P9),(P9-$P$7)/($P$7-1),"")</f>
        <v>0.0184014942656585</v>
      </c>
      <c r="Q10" s="8" t="s">
        <v>104</v>
      </c>
      <c r="V10" s="30" t="n">
        <f aca="false">IF(AND(ISNUMBER(G10),ISNUMBER($M10),ISNUMBER($M11)),MAX(G10*$M11/$M10,$M10/(G10*$M11)),"")</f>
        <v>1</v>
      </c>
      <c r="W10" s="30" t="n">
        <f aca="false">IF(AND(ISNUMBER(H10),ISNUMBER($M10),ISNUMBER($M12)),MAX(H10*$M12/$M10,$M10/(H10*$M12)),"")</f>
        <v>1.16652903957612</v>
      </c>
      <c r="X10" s="30" t="n">
        <f aca="false">IF(AND(ISNUMBER(I10),ISNUMBER($M10),ISNUMBER($M13)),MAX(I10*$M13/$M10,$M10/(I10*$M13)),"")</f>
        <v>1.16652903957612</v>
      </c>
      <c r="Y10" s="30" t="n">
        <f aca="false">IF(AND(ISNUMBER(J10),ISNUMBER($M10),ISNUMBER($M14)),MAX(J10*$M14/$M10,$M10/(J10*$M14)),"")</f>
        <v>1</v>
      </c>
      <c r="Z10" s="30" t="n">
        <f aca="false">IF(AND(ISNUMBER(K10),ISNUMBER($M10),ISNUMBER($M15)),MAX(K10*$M15/$M10,$M10/(K10*$M15)),"")</f>
        <v>1.25992104989487</v>
      </c>
      <c r="AA10" s="49" t="n">
        <f aca="false">IF(COUNT(R10:Z10)=0,"",MAX(R10:Z10))</f>
        <v>1.25992104989487</v>
      </c>
    </row>
    <row r="11" customFormat="false" ht="27" hidden="false" customHeight="true" outlineLevel="0" collapsed="false">
      <c r="A11" s="19" t="s">
        <v>106</v>
      </c>
      <c r="B11" s="9" t="s">
        <v>107</v>
      </c>
      <c r="C11" s="31" t="n">
        <f aca="false">IF(ISNUMBER(G7),1/G7,"")</f>
        <v>1</v>
      </c>
      <c r="D11" s="31" t="n">
        <f aca="false">IF(ISNUMBER(G8),1/G8,"")</f>
        <v>2</v>
      </c>
      <c r="E11" s="31" t="n">
        <f aca="false">IF(ISNUMBER(G9),1/G9,"")</f>
        <v>1</v>
      </c>
      <c r="F11" s="31" t="n">
        <f aca="false">IF(ISNUMBER(G10),1/G10,"")</f>
        <v>1</v>
      </c>
      <c r="G11" s="31" t="n">
        <v>1</v>
      </c>
      <c r="H11" s="31" t="n">
        <f aca="false">نسبت!L35</f>
        <v>1</v>
      </c>
      <c r="I11" s="31" t="n">
        <f aca="false">نسبت!L36</f>
        <v>1</v>
      </c>
      <c r="J11" s="31" t="n">
        <f aca="false">نسبت!L37</f>
        <v>1</v>
      </c>
      <c r="K11" s="31" t="n">
        <f aca="false">نسبت!L38</f>
        <v>0.5</v>
      </c>
      <c r="L11" s="37" t="n">
        <f aca="false">IF($P$8=$P$7*($P$7-1)/2,GEOMEAN(C11:K11),"")</f>
        <v>1</v>
      </c>
      <c r="M11" s="36" t="n">
        <f aca="false">IF($P$8=$P$7*($P$7-1)/2,L11/SUM($L$7:$L$15),"")</f>
        <v>0.107556671716168</v>
      </c>
      <c r="O11" s="48" t="s">
        <v>232</v>
      </c>
      <c r="P11" s="30" t="n">
        <f aca="false">INDEX(راهنما!$C$29:$C$38,MATCH($P$7,راهنما!$B$29:$B$38,0))</f>
        <v>1.45</v>
      </c>
      <c r="Q11" s="8" t="s">
        <v>106</v>
      </c>
      <c r="W11" s="30" t="n">
        <f aca="false">IF(AND(ISNUMBER(H11),ISNUMBER($M11),ISNUMBER($M12)),MAX(H11*$M12/$M11,$M11/(H11*$M12)),"")</f>
        <v>1.16652903957612</v>
      </c>
      <c r="X11" s="30" t="n">
        <f aca="false">IF(AND(ISNUMBER(I11),ISNUMBER($M11),ISNUMBER($M13)),MAX(I11*$M13/$M11,$M11/(I11*$M13)),"")</f>
        <v>1.16652903957612</v>
      </c>
      <c r="Y11" s="30" t="n">
        <f aca="false">IF(AND(ISNUMBER(J11),ISNUMBER($M11),ISNUMBER($M14)),MAX(J11*$M14/$M11,$M11/(J11*$M14)),"")</f>
        <v>1</v>
      </c>
      <c r="Z11" s="30" t="n">
        <f aca="false">IF(AND(ISNUMBER(K11),ISNUMBER($M11),ISNUMBER($M15)),MAX(K11*$M15/$M11,$M11/(K11*$M15)),"")</f>
        <v>1.25992104989487</v>
      </c>
      <c r="AA11" s="49" t="n">
        <f aca="false">IF(COUNT(R11:Z11)=0,"",MAX(R11:Z11))</f>
        <v>1.25992104989487</v>
      </c>
    </row>
    <row r="12" customFormat="false" ht="27" hidden="false" customHeight="true" outlineLevel="0" collapsed="false">
      <c r="A12" s="19" t="s">
        <v>108</v>
      </c>
      <c r="B12" s="9" t="s">
        <v>109</v>
      </c>
      <c r="C12" s="31" t="n">
        <f aca="false">IF(ISNUMBER(H7),1/H7,"")</f>
        <v>1</v>
      </c>
      <c r="D12" s="31" t="n">
        <f aca="false">IF(ISNUMBER(H8),1/H8,"")</f>
        <v>2</v>
      </c>
      <c r="E12" s="31" t="n">
        <f aca="false">IF(ISNUMBER(H9),1/H9,"")</f>
        <v>2</v>
      </c>
      <c r="F12" s="31" t="n">
        <f aca="false">IF(ISNUMBER(H10),1/H10,"")</f>
        <v>1</v>
      </c>
      <c r="G12" s="31" t="n">
        <f aca="false">IF(ISNUMBER(H11),1/H11,"")</f>
        <v>1</v>
      </c>
      <c r="H12" s="31" t="n">
        <v>1</v>
      </c>
      <c r="I12" s="31" t="n">
        <f aca="false">نسبت!L39</f>
        <v>1</v>
      </c>
      <c r="J12" s="31" t="n">
        <f aca="false">نسبت!L40</f>
        <v>1</v>
      </c>
      <c r="K12" s="31" t="n">
        <f aca="false">نسبت!L41</f>
        <v>1</v>
      </c>
      <c r="L12" s="37" t="n">
        <f aca="false">IF($P$8=$P$7*($P$7-1)/2,GEOMEAN(C12:K12),"")</f>
        <v>1.16652903957612</v>
      </c>
      <c r="M12" s="36" t="n">
        <f aca="false">IF($P$8=$P$7*($P$7-1)/2,L12/SUM($L$7:$L$15),"")</f>
        <v>0.125467980957065</v>
      </c>
      <c r="O12" s="48" t="s">
        <v>50</v>
      </c>
      <c r="P12" s="41" t="n">
        <f aca="false">IF(ISNUMBER(P10),IF(P11=0,0,MAX(0,P10)/P11),"")</f>
        <v>0.0126906857004541</v>
      </c>
      <c r="Q12" s="8" t="s">
        <v>108</v>
      </c>
      <c r="X12" s="30" t="n">
        <f aca="false">IF(AND(ISNUMBER(I12),ISNUMBER($M12),ISNUMBER($M13)),MAX(I12*$M13/$M12,$M12/(I12*$M13)),"")</f>
        <v>1</v>
      </c>
      <c r="Y12" s="30" t="n">
        <f aca="false">IF(AND(ISNUMBER(J12),ISNUMBER($M12),ISNUMBER($M14)),MAX(J12*$M14/$M12,$M12/(J12*$M14)),"")</f>
        <v>1.16652903957612</v>
      </c>
      <c r="Z12" s="30" t="n">
        <f aca="false">IF(AND(ISNUMBER(K12),ISNUMBER($M12),ISNUMBER($M15)),MAX(K12*$M15/$M12,$M12/(K12*$M15)),"")</f>
        <v>1.36079000017438</v>
      </c>
      <c r="AA12" s="49" t="n">
        <f aca="false">IF(COUNT(R12:Z12)=0,"",MAX(R12:Z12))</f>
        <v>1.36079000017438</v>
      </c>
    </row>
    <row r="13" customFormat="false" ht="27" hidden="false" customHeight="true" outlineLevel="0" collapsed="false">
      <c r="A13" s="19" t="s">
        <v>110</v>
      </c>
      <c r="B13" s="9" t="s">
        <v>111</v>
      </c>
      <c r="C13" s="31" t="n">
        <f aca="false">IF(ISNUMBER(I7),1/I7,"")</f>
        <v>1</v>
      </c>
      <c r="D13" s="31" t="n">
        <f aca="false">IF(ISNUMBER(I8),1/I8,"")</f>
        <v>2</v>
      </c>
      <c r="E13" s="31" t="n">
        <f aca="false">IF(ISNUMBER(I9),1/I9,"")</f>
        <v>2</v>
      </c>
      <c r="F13" s="31" t="n">
        <f aca="false">IF(ISNUMBER(I10),1/I10,"")</f>
        <v>1</v>
      </c>
      <c r="G13" s="31" t="n">
        <f aca="false">IF(ISNUMBER(I11),1/I11,"")</f>
        <v>1</v>
      </c>
      <c r="H13" s="31" t="n">
        <f aca="false">IF(ISNUMBER(I12),1/I12,"")</f>
        <v>1</v>
      </c>
      <c r="I13" s="31" t="n">
        <v>1</v>
      </c>
      <c r="J13" s="31" t="n">
        <f aca="false">نسبت!L42</f>
        <v>1</v>
      </c>
      <c r="K13" s="31" t="n">
        <f aca="false">نسبت!L43</f>
        <v>1</v>
      </c>
      <c r="L13" s="37" t="n">
        <f aca="false">IF($P$8=$P$7*($P$7-1)/2,GEOMEAN(C13:K13),"")</f>
        <v>1.16652903957612</v>
      </c>
      <c r="M13" s="36" t="n">
        <f aca="false">IF($P$8=$P$7*($P$7-1)/2,L13/SUM($L$7:$L$15),"")</f>
        <v>0.125467980957065</v>
      </c>
      <c r="O13" s="48" t="s">
        <v>83</v>
      </c>
      <c r="P13" s="10" t="str">
        <f aca="false">IF(NOT($P$8=$P$7*($P$7-1)/2),"ناقص",IF(P12&lt;=$P$3,"سازگار","ناسازگار"))</f>
        <v>سازگار</v>
      </c>
      <c r="Q13" s="8" t="s">
        <v>110</v>
      </c>
      <c r="Y13" s="30" t="n">
        <f aca="false">IF(AND(ISNUMBER(J13),ISNUMBER($M13),ISNUMBER($M14)),MAX(J13*$M14/$M13,$M13/(J13*$M14)),"")</f>
        <v>1.16652903957612</v>
      </c>
      <c r="Z13" s="30" t="n">
        <f aca="false">IF(AND(ISNUMBER(K13),ISNUMBER($M13),ISNUMBER($M15)),MAX(K13*$M15/$M13,$M13/(K13*$M15)),"")</f>
        <v>1.36079000017438</v>
      </c>
      <c r="AA13" s="49" t="n">
        <f aca="false">IF(COUNT(R13:Z13)=0,"",MAX(R13:Z13))</f>
        <v>1.36079000017438</v>
      </c>
    </row>
    <row r="14" customFormat="false" ht="27" hidden="false" customHeight="true" outlineLevel="0" collapsed="false">
      <c r="A14" s="19" t="s">
        <v>112</v>
      </c>
      <c r="B14" s="9" t="s">
        <v>113</v>
      </c>
      <c r="C14" s="31" t="n">
        <f aca="false">IF(ISNUMBER(J7),1/J7,"")</f>
        <v>1</v>
      </c>
      <c r="D14" s="31" t="n">
        <f aca="false">IF(ISNUMBER(J8),1/J8,"")</f>
        <v>2</v>
      </c>
      <c r="E14" s="31" t="n">
        <f aca="false">IF(ISNUMBER(J9),1/J9,"")</f>
        <v>1</v>
      </c>
      <c r="F14" s="31" t="n">
        <f aca="false">IF(ISNUMBER(J10),1/J10,"")</f>
        <v>1</v>
      </c>
      <c r="G14" s="31" t="n">
        <f aca="false">IF(ISNUMBER(J11),1/J11,"")</f>
        <v>1</v>
      </c>
      <c r="H14" s="31" t="n">
        <f aca="false">IF(ISNUMBER(J12),1/J12,"")</f>
        <v>1</v>
      </c>
      <c r="I14" s="31" t="n">
        <f aca="false">IF(ISNUMBER(J13),1/J13,"")</f>
        <v>1</v>
      </c>
      <c r="J14" s="31" t="n">
        <v>1</v>
      </c>
      <c r="K14" s="31" t="n">
        <f aca="false">نسبت!L44</f>
        <v>0.5</v>
      </c>
      <c r="L14" s="37" t="n">
        <f aca="false">IF($P$8=$P$7*($P$7-1)/2,GEOMEAN(C14:K14),"")</f>
        <v>1</v>
      </c>
      <c r="M14" s="36" t="n">
        <f aca="false">IF($P$8=$P$7*($P$7-1)/2,L14/SUM($L$7:$L$15),"")</f>
        <v>0.107556671716168</v>
      </c>
      <c r="O14" s="48" t="s">
        <v>233</v>
      </c>
      <c r="P14" s="30" t="n">
        <f aca="false">IF(COUNT(AA7:AA15)=0,"",MAX(AA7:AA15))</f>
        <v>1.36079000017438</v>
      </c>
      <c r="Q14" s="8" t="s">
        <v>112</v>
      </c>
      <c r="Z14" s="30" t="n">
        <f aca="false">IF(AND(ISNUMBER(K14),ISNUMBER($M14),ISNUMBER($M15)),MAX(K14*$M15/$M14,$M14/(K14*$M15)),"")</f>
        <v>1.25992104989487</v>
      </c>
      <c r="AA14" s="49" t="n">
        <f aca="false">IF(COUNT(R14:Z14)=0,"",MAX(R14:Z14))</f>
        <v>1.25992104989487</v>
      </c>
    </row>
    <row r="15" customFormat="false" ht="27" hidden="false" customHeight="true" outlineLevel="0" collapsed="false">
      <c r="A15" s="19" t="s">
        <v>114</v>
      </c>
      <c r="B15" s="9" t="s">
        <v>115</v>
      </c>
      <c r="C15" s="31" t="n">
        <f aca="false">IF(ISNUMBER(K7),1/K7,"")</f>
        <v>2</v>
      </c>
      <c r="D15" s="31" t="n">
        <f aca="false">IF(ISNUMBER(K8),1/K8,"")</f>
        <v>2</v>
      </c>
      <c r="E15" s="31" t="n">
        <f aca="false">IF(ISNUMBER(K9),1/K9,"")</f>
        <v>2</v>
      </c>
      <c r="F15" s="31" t="n">
        <f aca="false">IF(ISNUMBER(K10),1/K10,"")</f>
        <v>2</v>
      </c>
      <c r="G15" s="31" t="n">
        <f aca="false">IF(ISNUMBER(K11),1/K11,"")</f>
        <v>2</v>
      </c>
      <c r="H15" s="31" t="n">
        <f aca="false">IF(ISNUMBER(K12),1/K12,"")</f>
        <v>1</v>
      </c>
      <c r="I15" s="31" t="n">
        <f aca="false">IF(ISNUMBER(K13),1/K13,"")</f>
        <v>1</v>
      </c>
      <c r="J15" s="31" t="n">
        <f aca="false">IF(ISNUMBER(K14),1/K14,"")</f>
        <v>2</v>
      </c>
      <c r="K15" s="31" t="n">
        <v>1</v>
      </c>
      <c r="L15" s="37" t="n">
        <f aca="false">IF($P$8=$P$7*($P$7-1)/2,GEOMEAN(C15:K15),"")</f>
        <v>1.5874010519682</v>
      </c>
      <c r="M15" s="36" t="n">
        <f aca="false">IF($P$8=$P$7*($P$7-1)/2,L15/SUM($L$7:$L$15),"")</f>
        <v>0.170735573828443</v>
      </c>
      <c r="O15" s="48" t="s">
        <v>234</v>
      </c>
      <c r="P15" s="19" t="str">
        <f aca="false">IF(ISNUMBER(P14),INDEX(A7:A15,MATCH(P14,AA7:AA15,0))&amp;" و "&amp;INDEX(C6:K6,MATCH(P14,INDEX(R7:Z15,MATCH(P14,AA7:AA15,0),0),0)),"")</f>
        <v>م۲ و م۳</v>
      </c>
      <c r="Q15" s="8" t="s">
        <v>114</v>
      </c>
    </row>
    <row r="16" customFormat="false" ht="15" hidden="false" customHeight="false" outlineLevel="0" collapsed="false">
      <c r="A16" s="50"/>
      <c r="B16" s="51" t="s">
        <v>235</v>
      </c>
      <c r="C16" s="52" t="n">
        <f aca="false">IF($P$8=$P$7*($P$7-1)/2,SUM(C7:C15),"")</f>
        <v>9.5</v>
      </c>
      <c r="D16" s="52" t="n">
        <f aca="false">IF($P$8=$P$7*($P$7-1)/2,SUM(D7:D15),"")</f>
        <v>16</v>
      </c>
      <c r="E16" s="52" t="n">
        <f aca="false">IF($P$8=$P$7*($P$7-1)/2,SUM(E7:E15),"")</f>
        <v>12</v>
      </c>
      <c r="F16" s="52" t="n">
        <f aca="false">IF($P$8=$P$7*($P$7-1)/2,SUM(F7:F15),"")</f>
        <v>9.5</v>
      </c>
      <c r="G16" s="52" t="n">
        <f aca="false">IF($P$8=$P$7*($P$7-1)/2,SUM(G7:G15),"")</f>
        <v>9.5</v>
      </c>
      <c r="H16" s="52" t="n">
        <f aca="false">IF($P$8=$P$7*($P$7-1)/2,SUM(H7:H15),"")</f>
        <v>8</v>
      </c>
      <c r="I16" s="52" t="n">
        <f aca="false">IF($P$8=$P$7*($P$7-1)/2,SUM(I7:I15),"")</f>
        <v>8</v>
      </c>
      <c r="J16" s="52" t="n">
        <f aca="false">IF($P$8=$P$7*($P$7-1)/2,SUM(J7:J15),"")</f>
        <v>9.5</v>
      </c>
      <c r="K16" s="52" t="n">
        <f aca="false">IF($P$8=$P$7*($P$7-1)/2,SUM(K7:K15),"")</f>
        <v>6</v>
      </c>
      <c r="M16" s="53" t="n">
        <f aca="false">IF($P$8=$P$7*($P$7-1)/2,SUM(M7:M15),"")</f>
        <v>1</v>
      </c>
    </row>
    <row r="17" customFormat="false" ht="15" hidden="false" customHeight="false" outlineLevel="0" collapsed="false">
      <c r="A17" s="50"/>
      <c r="B17" s="51" t="s">
        <v>236</v>
      </c>
      <c r="C17" s="53" t="n">
        <f aca="false">M7</f>
        <v>0.107556671716168</v>
      </c>
      <c r="D17" s="53" t="n">
        <f aca="false">M8</f>
        <v>0.0627339904785326</v>
      </c>
      <c r="E17" s="53" t="n">
        <f aca="false">M9</f>
        <v>0.0853677869142217</v>
      </c>
      <c r="F17" s="53" t="n">
        <f aca="false">M10</f>
        <v>0.107556671716168</v>
      </c>
      <c r="G17" s="53" t="n">
        <f aca="false">M11</f>
        <v>0.107556671716168</v>
      </c>
      <c r="H17" s="53" t="n">
        <f aca="false">M12</f>
        <v>0.125467980957065</v>
      </c>
      <c r="I17" s="53" t="n">
        <f aca="false">M13</f>
        <v>0.125467980957065</v>
      </c>
      <c r="J17" s="53" t="n">
        <f aca="false">M14</f>
        <v>0.107556671716168</v>
      </c>
      <c r="K17" s="53" t="n">
        <f aca="false">M15</f>
        <v>0.170735573828443</v>
      </c>
    </row>
    <row r="19" customFormat="false" ht="15" hidden="false" customHeight="false" outlineLevel="0" collapsed="false">
      <c r="A19" s="45" t="s">
        <v>237</v>
      </c>
      <c r="B19" s="45"/>
      <c r="C19" s="45"/>
      <c r="D19" s="45"/>
      <c r="E19" s="45"/>
      <c r="F19" s="45"/>
      <c r="G19" s="45"/>
      <c r="H19" s="45"/>
      <c r="I19" s="45"/>
      <c r="J19" s="45"/>
      <c r="K19" s="45"/>
      <c r="L19" s="45"/>
      <c r="M19" s="45"/>
      <c r="Q19" s="46" t="s">
        <v>224</v>
      </c>
      <c r="R19" s="46"/>
      <c r="S19" s="46"/>
      <c r="T19" s="46"/>
      <c r="U19" s="46"/>
      <c r="V19" s="46"/>
      <c r="W19" s="46"/>
      <c r="X19" s="46"/>
      <c r="Y19" s="46"/>
      <c r="Z19" s="46"/>
      <c r="AA19" s="46"/>
    </row>
    <row r="20" customFormat="false" ht="27.75" hidden="false" customHeight="true" outlineLevel="0" collapsed="false">
      <c r="A20" s="8" t="s">
        <v>199</v>
      </c>
      <c r="B20" s="8" t="s">
        <v>225</v>
      </c>
      <c r="C20" s="8" t="s">
        <v>117</v>
      </c>
      <c r="D20" s="8" t="s">
        <v>119</v>
      </c>
      <c r="E20" s="8" t="s">
        <v>121</v>
      </c>
      <c r="L20" s="7" t="s">
        <v>226</v>
      </c>
      <c r="M20" s="8" t="s">
        <v>227</v>
      </c>
      <c r="Q20" s="8" t="s">
        <v>199</v>
      </c>
      <c r="R20" s="8" t="s">
        <v>117</v>
      </c>
      <c r="S20" s="8" t="s">
        <v>119</v>
      </c>
      <c r="T20" s="8" t="s">
        <v>121</v>
      </c>
      <c r="AA20" s="47" t="s">
        <v>228</v>
      </c>
    </row>
    <row r="21" customFormat="false" ht="27" hidden="false" customHeight="true" outlineLevel="0" collapsed="false">
      <c r="A21" s="19" t="s">
        <v>117</v>
      </c>
      <c r="B21" s="9" t="s">
        <v>118</v>
      </c>
      <c r="C21" s="31" t="n">
        <v>1</v>
      </c>
      <c r="D21" s="31" t="n">
        <f aca="false">نسبت!L45</f>
        <v>1</v>
      </c>
      <c r="E21" s="31" t="n">
        <f aca="false">نسبت!L46</f>
        <v>1</v>
      </c>
      <c r="L21" s="37" t="n">
        <f aca="false">IF($P$22=$P$21*($P$21-1)/2,GEOMEAN(C21:E21),"")</f>
        <v>1</v>
      </c>
      <c r="M21" s="36" t="n">
        <f aca="false">IF($P$22=$P$21*($P$21-1)/2,L21/SUM($L$21:$L$23),"")</f>
        <v>0.333333333333333</v>
      </c>
      <c r="O21" s="48" t="s">
        <v>229</v>
      </c>
      <c r="P21" s="11" t="n">
        <f aca="false">ROWS(A21:A23)</f>
        <v>3</v>
      </c>
      <c r="Q21" s="8" t="s">
        <v>117</v>
      </c>
      <c r="S21" s="30" t="n">
        <f aca="false">IF(AND(ISNUMBER(D21),ISNUMBER($M21),ISNUMBER($M22)),MAX(D21*$M22/$M21,$M21/(D21*$M22)),"")</f>
        <v>1</v>
      </c>
      <c r="T21" s="30" t="n">
        <f aca="false">IF(AND(ISNUMBER(E21),ISNUMBER($M21),ISNUMBER($M23)),MAX(E21*$M23/$M21,$M21/(E21*$M23)),"")</f>
        <v>1</v>
      </c>
      <c r="AA21" s="49" t="n">
        <f aca="false">IF(COUNT(R21:T21)=0,"",MAX(R21:T21))</f>
        <v>1</v>
      </c>
    </row>
    <row r="22" customFormat="false" ht="27" hidden="false" customHeight="true" outlineLevel="0" collapsed="false">
      <c r="A22" s="19" t="s">
        <v>119</v>
      </c>
      <c r="B22" s="9" t="s">
        <v>120</v>
      </c>
      <c r="C22" s="31" t="n">
        <f aca="false">IF(ISNUMBER(D21),1/D21,"")</f>
        <v>1</v>
      </c>
      <c r="D22" s="31" t="n">
        <v>1</v>
      </c>
      <c r="E22" s="31" t="n">
        <f aca="false">نسبت!L47</f>
        <v>1</v>
      </c>
      <c r="L22" s="37" t="n">
        <f aca="false">IF($P$22=$P$21*($P$21-1)/2,GEOMEAN(C22:E22),"")</f>
        <v>1</v>
      </c>
      <c r="M22" s="36" t="n">
        <f aca="false">IF($P$22=$P$21*($P$21-1)/2,L22/SUM($L$21:$L$23),"")</f>
        <v>0.333333333333333</v>
      </c>
      <c r="O22" s="48" t="s">
        <v>230</v>
      </c>
      <c r="P22" s="11" t="n">
        <f aca="false">(COUNT(C21:E23)-$P$21)/2</f>
        <v>3</v>
      </c>
      <c r="Q22" s="8" t="s">
        <v>119</v>
      </c>
      <c r="T22" s="30" t="n">
        <f aca="false">IF(AND(ISNUMBER(E22),ISNUMBER($M22),ISNUMBER($M23)),MAX(E22*$M23/$M22,$M22/(E22*$M23)),"")</f>
        <v>1</v>
      </c>
      <c r="AA22" s="49" t="n">
        <f aca="false">IF(COUNT(R22:T22)=0,"",MAX(R22:T22))</f>
        <v>1</v>
      </c>
    </row>
    <row r="23" customFormat="false" ht="27" hidden="false" customHeight="true" outlineLevel="0" collapsed="false">
      <c r="A23" s="19" t="s">
        <v>121</v>
      </c>
      <c r="B23" s="9" t="s">
        <v>122</v>
      </c>
      <c r="C23" s="31" t="n">
        <f aca="false">IF(ISNUMBER(E21),1/E21,"")</f>
        <v>1</v>
      </c>
      <c r="D23" s="31" t="n">
        <f aca="false">IF(ISNUMBER(E22),1/E22,"")</f>
        <v>1</v>
      </c>
      <c r="E23" s="31" t="n">
        <v>1</v>
      </c>
      <c r="L23" s="37" t="n">
        <f aca="false">IF($P$22=$P$21*($P$21-1)/2,GEOMEAN(C23:E23),"")</f>
        <v>1</v>
      </c>
      <c r="M23" s="36" t="n">
        <f aca="false">IF($P$22=$P$21*($P$21-1)/2,L23/SUM($L$21:$L$23),"")</f>
        <v>0.333333333333333</v>
      </c>
      <c r="O23" s="48" t="s">
        <v>231</v>
      </c>
      <c r="P23" s="37" t="n">
        <f aca="false">IF($P$22=$P$21*($P$21-1)/2,SUMPRODUCT(C24:E24,C25:E25),"")</f>
        <v>3</v>
      </c>
      <c r="Q23" s="8" t="s">
        <v>121</v>
      </c>
    </row>
    <row r="24" customFormat="false" ht="15" hidden="false" customHeight="false" outlineLevel="0" collapsed="false">
      <c r="A24" s="50"/>
      <c r="B24" s="51" t="s">
        <v>235</v>
      </c>
      <c r="C24" s="52" t="n">
        <f aca="false">IF($P$22=$P$21*($P$21-1)/2,SUM(C21:C23),"")</f>
        <v>3</v>
      </c>
      <c r="D24" s="52" t="n">
        <f aca="false">IF($P$22=$P$21*($P$21-1)/2,SUM(D21:D23),"")</f>
        <v>3</v>
      </c>
      <c r="E24" s="52" t="n">
        <f aca="false">IF($P$22=$P$21*($P$21-1)/2,SUM(E21:E23),"")</f>
        <v>3</v>
      </c>
      <c r="M24" s="53" t="n">
        <f aca="false">IF($P$22=$P$21*($P$21-1)/2,SUM(M21:M23),"")</f>
        <v>1</v>
      </c>
      <c r="O24" s="48" t="s">
        <v>48</v>
      </c>
      <c r="P24" s="37" t="n">
        <f aca="false">IF(ISNUMBER(P23),(P23-$P$21)/($P$21-1),"")</f>
        <v>0</v>
      </c>
    </row>
    <row r="25" customFormat="false" ht="15" hidden="false" customHeight="false" outlineLevel="0" collapsed="false">
      <c r="A25" s="50"/>
      <c r="B25" s="51" t="s">
        <v>236</v>
      </c>
      <c r="C25" s="53" t="n">
        <f aca="false">M21</f>
        <v>0.333333333333333</v>
      </c>
      <c r="D25" s="53" t="n">
        <f aca="false">M22</f>
        <v>0.333333333333333</v>
      </c>
      <c r="E25" s="53" t="n">
        <f aca="false">M23</f>
        <v>0.333333333333333</v>
      </c>
      <c r="O25" s="48" t="s">
        <v>232</v>
      </c>
      <c r="P25" s="30" t="n">
        <f aca="false">INDEX(راهنما!$C$29:$C$38,MATCH($P$21,راهنما!$B$29:$B$38,0))</f>
        <v>0.58</v>
      </c>
    </row>
    <row r="26" customFormat="false" ht="15" hidden="false" customHeight="false" outlineLevel="0" collapsed="false">
      <c r="O26" s="48" t="s">
        <v>50</v>
      </c>
      <c r="P26" s="41" t="n">
        <f aca="false">IF(ISNUMBER(P24),IF(P25=0,0,MAX(0,P24)/P25),"")</f>
        <v>0</v>
      </c>
    </row>
    <row r="27" customFormat="false" ht="15" hidden="false" customHeight="false" outlineLevel="0" collapsed="false">
      <c r="O27" s="48" t="s">
        <v>83</v>
      </c>
      <c r="P27" s="10" t="str">
        <f aca="false">IF(NOT($P$22=$P$21*($P$21-1)/2),"ناقص",IF(P26&lt;=$P$3,"سازگار","ناسازگار"))</f>
        <v>سازگار</v>
      </c>
    </row>
    <row r="28" customFormat="false" ht="15" hidden="false" customHeight="false" outlineLevel="0" collapsed="false">
      <c r="O28" s="48" t="s">
        <v>233</v>
      </c>
      <c r="P28" s="30" t="n">
        <f aca="false">IF(COUNT(AA21:AA23)=0,"",MAX(AA21:AA23))</f>
        <v>1</v>
      </c>
    </row>
    <row r="29" customFormat="false" ht="15" hidden="false" customHeight="false" outlineLevel="0" collapsed="false">
      <c r="O29" s="48" t="s">
        <v>234</v>
      </c>
      <c r="P29" s="19" t="str">
        <f aca="false">IF(ISNUMBER(P28),INDEX(A21:A23,MATCH(P28,AA21:AA23,0))&amp;" و "&amp;INDEX(C20:E20,MATCH(P28,INDEX(R21:T23,MATCH(P28,AA21:AA23,0),0),0)),"")</f>
        <v>گ۱ و گ۲</v>
      </c>
    </row>
    <row r="31" customFormat="false" ht="15" hidden="false" customHeight="false" outlineLevel="0" collapsed="false">
      <c r="A31" s="45" t="s">
        <v>238</v>
      </c>
      <c r="B31" s="45"/>
      <c r="C31" s="45"/>
      <c r="D31" s="45"/>
      <c r="E31" s="45"/>
      <c r="F31" s="45"/>
      <c r="G31" s="45"/>
      <c r="H31" s="45"/>
      <c r="I31" s="45"/>
      <c r="J31" s="45"/>
      <c r="K31" s="45"/>
      <c r="L31" s="45"/>
      <c r="M31" s="45"/>
      <c r="Q31" s="46" t="s">
        <v>224</v>
      </c>
      <c r="R31" s="46"/>
      <c r="S31" s="46"/>
      <c r="T31" s="46"/>
      <c r="U31" s="46"/>
      <c r="V31" s="46"/>
      <c r="W31" s="46"/>
      <c r="X31" s="46"/>
      <c r="Y31" s="46"/>
      <c r="Z31" s="46"/>
      <c r="AA31" s="46"/>
    </row>
    <row r="32" customFormat="false" ht="27.75" hidden="false" customHeight="true" outlineLevel="0" collapsed="false">
      <c r="A32" s="8" t="s">
        <v>199</v>
      </c>
      <c r="B32" s="8" t="s">
        <v>225</v>
      </c>
      <c r="C32" s="8" t="s">
        <v>123</v>
      </c>
      <c r="D32" s="8" t="s">
        <v>125</v>
      </c>
      <c r="E32" s="8" t="s">
        <v>127</v>
      </c>
      <c r="F32" s="8" t="s">
        <v>129</v>
      </c>
      <c r="L32" s="7" t="s">
        <v>226</v>
      </c>
      <c r="M32" s="8" t="s">
        <v>227</v>
      </c>
      <c r="Q32" s="8" t="s">
        <v>199</v>
      </c>
      <c r="R32" s="8" t="s">
        <v>123</v>
      </c>
      <c r="S32" s="8" t="s">
        <v>125</v>
      </c>
      <c r="T32" s="8" t="s">
        <v>127</v>
      </c>
      <c r="U32" s="8" t="s">
        <v>129</v>
      </c>
      <c r="AA32" s="47" t="s">
        <v>228</v>
      </c>
    </row>
    <row r="33" customFormat="false" ht="27" hidden="false" customHeight="true" outlineLevel="0" collapsed="false">
      <c r="A33" s="19" t="s">
        <v>123</v>
      </c>
      <c r="B33" s="9" t="s">
        <v>124</v>
      </c>
      <c r="C33" s="31" t="n">
        <v>1</v>
      </c>
      <c r="D33" s="31" t="n">
        <f aca="false">نسبت!L48</f>
        <v>1</v>
      </c>
      <c r="E33" s="31" t="n">
        <f aca="false">نسبت!L49</f>
        <v>2</v>
      </c>
      <c r="F33" s="31" t="n">
        <f aca="false">نسبت!L50</f>
        <v>2</v>
      </c>
      <c r="L33" s="37" t="n">
        <f aca="false">IF($P$34=$P$33*($P$33-1)/2,GEOMEAN(C33:F33),"")</f>
        <v>1.4142135623731</v>
      </c>
      <c r="M33" s="36" t="n">
        <f aca="false">IF($P$34=$P$33*($P$33-1)/2,L33/SUM($L$33:$L$36),"")</f>
        <v>0.333333333333333</v>
      </c>
      <c r="O33" s="48" t="s">
        <v>229</v>
      </c>
      <c r="P33" s="11" t="n">
        <f aca="false">ROWS(A33:A36)</f>
        <v>4</v>
      </c>
      <c r="Q33" s="8" t="s">
        <v>123</v>
      </c>
      <c r="S33" s="30" t="n">
        <f aca="false">IF(AND(ISNUMBER(D33),ISNUMBER($M33),ISNUMBER($M34)),MAX(D33*$M34/$M33,$M33/(D33*$M34)),"")</f>
        <v>1</v>
      </c>
      <c r="T33" s="30" t="n">
        <f aca="false">IF(AND(ISNUMBER(E33),ISNUMBER($M33),ISNUMBER($M35)),MAX(E33*$M35/$M33,$M33/(E33*$M35)),"")</f>
        <v>1</v>
      </c>
      <c r="U33" s="30" t="n">
        <f aca="false">IF(AND(ISNUMBER(F33),ISNUMBER($M33),ISNUMBER($M36)),MAX(F33*$M36/$M33,$M33/(F33*$M36)),"")</f>
        <v>1</v>
      </c>
      <c r="AA33" s="49" t="n">
        <f aca="false">IF(COUNT(R33:U33)=0,"",MAX(R33:U33))</f>
        <v>1</v>
      </c>
    </row>
    <row r="34" customFormat="false" ht="27" hidden="false" customHeight="true" outlineLevel="0" collapsed="false">
      <c r="A34" s="19" t="s">
        <v>125</v>
      </c>
      <c r="B34" s="9" t="s">
        <v>126</v>
      </c>
      <c r="C34" s="31" t="n">
        <f aca="false">IF(ISNUMBER(D33),1/D33,"")</f>
        <v>1</v>
      </c>
      <c r="D34" s="31" t="n">
        <v>1</v>
      </c>
      <c r="E34" s="31" t="n">
        <f aca="false">نسبت!L51</f>
        <v>2</v>
      </c>
      <c r="F34" s="31" t="n">
        <f aca="false">نسبت!L52</f>
        <v>2</v>
      </c>
      <c r="L34" s="37" t="n">
        <f aca="false">IF($P$34=$P$33*($P$33-1)/2,GEOMEAN(C34:F34),"")</f>
        <v>1.4142135623731</v>
      </c>
      <c r="M34" s="36" t="n">
        <f aca="false">IF($P$34=$P$33*($P$33-1)/2,L34/SUM($L$33:$L$36),"")</f>
        <v>0.333333333333333</v>
      </c>
      <c r="O34" s="48" t="s">
        <v>230</v>
      </c>
      <c r="P34" s="11" t="n">
        <f aca="false">(COUNT(C33:F36)-$P$33)/2</f>
        <v>6</v>
      </c>
      <c r="Q34" s="8" t="s">
        <v>125</v>
      </c>
      <c r="T34" s="30" t="n">
        <f aca="false">IF(AND(ISNUMBER(E34),ISNUMBER($M34),ISNUMBER($M35)),MAX(E34*$M35/$M34,$M34/(E34*$M35)),"")</f>
        <v>1</v>
      </c>
      <c r="U34" s="30" t="n">
        <f aca="false">IF(AND(ISNUMBER(F34),ISNUMBER($M34),ISNUMBER($M36)),MAX(F34*$M36/$M34,$M34/(F34*$M36)),"")</f>
        <v>1</v>
      </c>
      <c r="AA34" s="49" t="n">
        <f aca="false">IF(COUNT(R34:U34)=0,"",MAX(R34:U34))</f>
        <v>1</v>
      </c>
    </row>
    <row r="35" customFormat="false" ht="27" hidden="false" customHeight="true" outlineLevel="0" collapsed="false">
      <c r="A35" s="19" t="s">
        <v>127</v>
      </c>
      <c r="B35" s="9" t="s">
        <v>128</v>
      </c>
      <c r="C35" s="31" t="n">
        <f aca="false">IF(ISNUMBER(E33),1/E33,"")</f>
        <v>0.5</v>
      </c>
      <c r="D35" s="31" t="n">
        <f aca="false">IF(ISNUMBER(E34),1/E34,"")</f>
        <v>0.5</v>
      </c>
      <c r="E35" s="31" t="n">
        <v>1</v>
      </c>
      <c r="F35" s="31" t="n">
        <f aca="false">نسبت!L53</f>
        <v>1</v>
      </c>
      <c r="L35" s="37" t="n">
        <f aca="false">IF($P$34=$P$33*($P$33-1)/2,GEOMEAN(C35:F35),"")</f>
        <v>0.707106781186548</v>
      </c>
      <c r="M35" s="36" t="n">
        <f aca="false">IF($P$34=$P$33*($P$33-1)/2,L35/SUM($L$33:$L$36),"")</f>
        <v>0.166666666666667</v>
      </c>
      <c r="O35" s="48" t="s">
        <v>231</v>
      </c>
      <c r="P35" s="37" t="n">
        <f aca="false">IF($P$34=$P$33*($P$33-1)/2,SUMPRODUCT(C37:F37,C38:F38),"")</f>
        <v>4</v>
      </c>
      <c r="Q35" s="8" t="s">
        <v>127</v>
      </c>
      <c r="U35" s="30" t="n">
        <f aca="false">IF(AND(ISNUMBER(F35),ISNUMBER($M35),ISNUMBER($M36)),MAX(F35*$M36/$M35,$M35/(F35*$M36)),"")</f>
        <v>1</v>
      </c>
      <c r="AA35" s="49" t="n">
        <f aca="false">IF(COUNT(R35:U35)=0,"",MAX(R35:U35))</f>
        <v>1</v>
      </c>
    </row>
    <row r="36" customFormat="false" ht="27" hidden="false" customHeight="true" outlineLevel="0" collapsed="false">
      <c r="A36" s="19" t="s">
        <v>129</v>
      </c>
      <c r="B36" s="9" t="s">
        <v>130</v>
      </c>
      <c r="C36" s="31" t="n">
        <f aca="false">IF(ISNUMBER(F33),1/F33,"")</f>
        <v>0.5</v>
      </c>
      <c r="D36" s="31" t="n">
        <f aca="false">IF(ISNUMBER(F34),1/F34,"")</f>
        <v>0.5</v>
      </c>
      <c r="E36" s="31" t="n">
        <f aca="false">IF(ISNUMBER(F35),1/F35,"")</f>
        <v>1</v>
      </c>
      <c r="F36" s="31" t="n">
        <v>1</v>
      </c>
      <c r="L36" s="37" t="n">
        <f aca="false">IF($P$34=$P$33*($P$33-1)/2,GEOMEAN(C36:F36),"")</f>
        <v>0.707106781186548</v>
      </c>
      <c r="M36" s="36" t="n">
        <f aca="false">IF($P$34=$P$33*($P$33-1)/2,L36/SUM($L$33:$L$36),"")</f>
        <v>0.166666666666667</v>
      </c>
      <c r="O36" s="48" t="s">
        <v>48</v>
      </c>
      <c r="P36" s="37" t="n">
        <f aca="false">IF(ISNUMBER(P35),(P35-$P$33)/($P$33-1),"")</f>
        <v>0</v>
      </c>
      <c r="Q36" s="8" t="s">
        <v>129</v>
      </c>
    </row>
    <row r="37" customFormat="false" ht="15" hidden="false" customHeight="false" outlineLevel="0" collapsed="false">
      <c r="A37" s="50"/>
      <c r="B37" s="51" t="s">
        <v>235</v>
      </c>
      <c r="C37" s="52" t="n">
        <f aca="false">IF($P$34=$P$33*($P$33-1)/2,SUM(C33:C36),"")</f>
        <v>3</v>
      </c>
      <c r="D37" s="52" t="n">
        <f aca="false">IF($P$34=$P$33*($P$33-1)/2,SUM(D33:D36),"")</f>
        <v>3</v>
      </c>
      <c r="E37" s="52" t="n">
        <f aca="false">IF($P$34=$P$33*($P$33-1)/2,SUM(E33:E36),"")</f>
        <v>6</v>
      </c>
      <c r="F37" s="52" t="n">
        <f aca="false">IF($P$34=$P$33*($P$33-1)/2,SUM(F33:F36),"")</f>
        <v>6</v>
      </c>
      <c r="M37" s="53" t="n">
        <f aca="false">IF($P$34=$P$33*($P$33-1)/2,SUM(M33:M36),"")</f>
        <v>1</v>
      </c>
      <c r="O37" s="48" t="s">
        <v>232</v>
      </c>
      <c r="P37" s="30" t="n">
        <f aca="false">INDEX(راهنما!$C$29:$C$38,MATCH($P$33,راهنما!$B$29:$B$38,0))</f>
        <v>0.9</v>
      </c>
    </row>
    <row r="38" customFormat="false" ht="15" hidden="false" customHeight="false" outlineLevel="0" collapsed="false">
      <c r="A38" s="50"/>
      <c r="B38" s="51" t="s">
        <v>236</v>
      </c>
      <c r="C38" s="53" t="n">
        <f aca="false">M33</f>
        <v>0.333333333333333</v>
      </c>
      <c r="D38" s="53" t="n">
        <f aca="false">M34</f>
        <v>0.333333333333333</v>
      </c>
      <c r="E38" s="53" t="n">
        <f aca="false">M35</f>
        <v>0.166666666666667</v>
      </c>
      <c r="F38" s="53" t="n">
        <f aca="false">M36</f>
        <v>0.166666666666667</v>
      </c>
      <c r="O38" s="48" t="s">
        <v>50</v>
      </c>
      <c r="P38" s="41" t="n">
        <f aca="false">IF(ISNUMBER(P36),IF(P37=0,0,MAX(0,P36)/P37),"")</f>
        <v>0</v>
      </c>
    </row>
    <row r="39" customFormat="false" ht="15" hidden="false" customHeight="false" outlineLevel="0" collapsed="false">
      <c r="O39" s="48" t="s">
        <v>83</v>
      </c>
      <c r="P39" s="10" t="str">
        <f aca="false">IF(NOT($P$34=$P$33*($P$33-1)/2),"ناقص",IF(P38&lt;=$P$3,"سازگار","ناسازگار"))</f>
        <v>سازگار</v>
      </c>
    </row>
    <row r="40" customFormat="false" ht="15" hidden="false" customHeight="false" outlineLevel="0" collapsed="false">
      <c r="O40" s="48" t="s">
        <v>233</v>
      </c>
      <c r="P40" s="30" t="n">
        <f aca="false">IF(COUNT(AA33:AA36)=0,"",MAX(AA33:AA36))</f>
        <v>1</v>
      </c>
    </row>
    <row r="41" customFormat="false" ht="15" hidden="false" customHeight="false" outlineLevel="0" collapsed="false">
      <c r="O41" s="48" t="s">
        <v>234</v>
      </c>
      <c r="P41" s="19" t="str">
        <f aca="false">IF(ISNUMBER(P40),INDEX(A33:A36,MATCH(P40,AA33:AA36,0))&amp;" و "&amp;INDEX(C32:F32,MATCH(P40,INDEX(R33:U36,MATCH(P40,AA33:AA36,0),0),0)),"")</f>
        <v>گ۴ و گ۵</v>
      </c>
    </row>
    <row r="43" customFormat="false" ht="15" hidden="false" customHeight="false" outlineLevel="0" collapsed="false">
      <c r="A43" s="45" t="s">
        <v>239</v>
      </c>
      <c r="B43" s="45"/>
      <c r="C43" s="45"/>
      <c r="D43" s="45"/>
      <c r="E43" s="45"/>
      <c r="F43" s="45"/>
      <c r="G43" s="45"/>
      <c r="H43" s="45"/>
      <c r="I43" s="45"/>
      <c r="J43" s="45"/>
      <c r="K43" s="45"/>
      <c r="L43" s="45"/>
      <c r="M43" s="45"/>
      <c r="Q43" s="46" t="s">
        <v>224</v>
      </c>
      <c r="R43" s="46"/>
      <c r="S43" s="46"/>
      <c r="T43" s="46"/>
      <c r="U43" s="46"/>
      <c r="V43" s="46"/>
      <c r="W43" s="46"/>
      <c r="X43" s="46"/>
      <c r="Y43" s="46"/>
      <c r="Z43" s="46"/>
      <c r="AA43" s="46"/>
    </row>
    <row r="44" customFormat="false" ht="27.75" hidden="false" customHeight="true" outlineLevel="0" collapsed="false">
      <c r="A44" s="8" t="s">
        <v>199</v>
      </c>
      <c r="B44" s="8" t="s">
        <v>225</v>
      </c>
      <c r="C44" s="8" t="s">
        <v>131</v>
      </c>
      <c r="D44" s="8" t="s">
        <v>133</v>
      </c>
      <c r="E44" s="8" t="s">
        <v>135</v>
      </c>
      <c r="L44" s="7" t="s">
        <v>226</v>
      </c>
      <c r="M44" s="8" t="s">
        <v>227</v>
      </c>
      <c r="Q44" s="8" t="s">
        <v>199</v>
      </c>
      <c r="R44" s="8" t="s">
        <v>131</v>
      </c>
      <c r="S44" s="8" t="s">
        <v>133</v>
      </c>
      <c r="T44" s="8" t="s">
        <v>135</v>
      </c>
      <c r="AA44" s="47" t="s">
        <v>228</v>
      </c>
    </row>
    <row r="45" customFormat="false" ht="27" hidden="false" customHeight="true" outlineLevel="0" collapsed="false">
      <c r="A45" s="19" t="s">
        <v>131</v>
      </c>
      <c r="B45" s="9" t="s">
        <v>132</v>
      </c>
      <c r="C45" s="31" t="n">
        <v>1</v>
      </c>
      <c r="D45" s="31" t="n">
        <f aca="false">نسبت!L54</f>
        <v>1</v>
      </c>
      <c r="E45" s="31" t="n">
        <f aca="false">نسبت!L55</f>
        <v>2</v>
      </c>
      <c r="L45" s="37" t="n">
        <f aca="false">IF($P$46=$P$45*($P$45-1)/2,GEOMEAN(C45:E45),"")</f>
        <v>1.25992104989487</v>
      </c>
      <c r="M45" s="36" t="n">
        <f aca="false">IF($P$46=$P$45*($P$45-1)/2,L45/SUM($L$45:$L$47),"")</f>
        <v>0.4</v>
      </c>
      <c r="O45" s="48" t="s">
        <v>229</v>
      </c>
      <c r="P45" s="11" t="n">
        <f aca="false">ROWS(A45:A47)</f>
        <v>3</v>
      </c>
      <c r="Q45" s="8" t="s">
        <v>131</v>
      </c>
      <c r="S45" s="30" t="n">
        <f aca="false">IF(AND(ISNUMBER(D45),ISNUMBER($M45),ISNUMBER($M46)),MAX(D45*$M46/$M45,$M45/(D45*$M46)),"")</f>
        <v>1</v>
      </c>
      <c r="T45" s="30" t="n">
        <f aca="false">IF(AND(ISNUMBER(E45),ISNUMBER($M45),ISNUMBER($M47)),MAX(E45*$M47/$M45,$M45/(E45*$M47)),"")</f>
        <v>1</v>
      </c>
      <c r="AA45" s="49" t="n">
        <f aca="false">IF(COUNT(R45:T45)=0,"",MAX(R45:T45))</f>
        <v>1</v>
      </c>
    </row>
    <row r="46" customFormat="false" ht="27" hidden="false" customHeight="true" outlineLevel="0" collapsed="false">
      <c r="A46" s="19" t="s">
        <v>133</v>
      </c>
      <c r="B46" s="9" t="s">
        <v>134</v>
      </c>
      <c r="C46" s="31" t="n">
        <f aca="false">IF(ISNUMBER(D45),1/D45,"")</f>
        <v>1</v>
      </c>
      <c r="D46" s="31" t="n">
        <v>1</v>
      </c>
      <c r="E46" s="31" t="n">
        <f aca="false">نسبت!L56</f>
        <v>2</v>
      </c>
      <c r="L46" s="37" t="n">
        <f aca="false">IF($P$46=$P$45*($P$45-1)/2,GEOMEAN(C46:E46),"")</f>
        <v>1.25992104989487</v>
      </c>
      <c r="M46" s="36" t="n">
        <f aca="false">IF($P$46=$P$45*($P$45-1)/2,L46/SUM($L$45:$L$47),"")</f>
        <v>0.4</v>
      </c>
      <c r="O46" s="48" t="s">
        <v>230</v>
      </c>
      <c r="P46" s="11" t="n">
        <f aca="false">(COUNT(C45:E47)-$P$45)/2</f>
        <v>3</v>
      </c>
      <c r="Q46" s="8" t="s">
        <v>133</v>
      </c>
      <c r="T46" s="30" t="n">
        <f aca="false">IF(AND(ISNUMBER(E46),ISNUMBER($M46),ISNUMBER($M47)),MAX(E46*$M47/$M46,$M46/(E46*$M47)),"")</f>
        <v>1</v>
      </c>
      <c r="AA46" s="49" t="n">
        <f aca="false">IF(COUNT(R46:T46)=0,"",MAX(R46:T46))</f>
        <v>1</v>
      </c>
    </row>
    <row r="47" customFormat="false" ht="27" hidden="false" customHeight="true" outlineLevel="0" collapsed="false">
      <c r="A47" s="19" t="s">
        <v>135</v>
      </c>
      <c r="B47" s="9" t="s">
        <v>136</v>
      </c>
      <c r="C47" s="31" t="n">
        <f aca="false">IF(ISNUMBER(E45),1/E45,"")</f>
        <v>0.5</v>
      </c>
      <c r="D47" s="31" t="n">
        <f aca="false">IF(ISNUMBER(E46),1/E46,"")</f>
        <v>0.5</v>
      </c>
      <c r="E47" s="31" t="n">
        <v>1</v>
      </c>
      <c r="L47" s="37" t="n">
        <f aca="false">IF($P$46=$P$45*($P$45-1)/2,GEOMEAN(C47:E47),"")</f>
        <v>0.629960524947437</v>
      </c>
      <c r="M47" s="36" t="n">
        <f aca="false">IF($P$46=$P$45*($P$45-1)/2,L47/SUM($L$45:$L$47),"")</f>
        <v>0.2</v>
      </c>
      <c r="O47" s="48" t="s">
        <v>231</v>
      </c>
      <c r="P47" s="37" t="n">
        <f aca="false">IF($P$46=$P$45*($P$45-1)/2,SUMPRODUCT(C48:E48,C49:E49),"")</f>
        <v>3</v>
      </c>
      <c r="Q47" s="8" t="s">
        <v>135</v>
      </c>
    </row>
    <row r="48" customFormat="false" ht="15" hidden="false" customHeight="false" outlineLevel="0" collapsed="false">
      <c r="A48" s="50"/>
      <c r="B48" s="51" t="s">
        <v>235</v>
      </c>
      <c r="C48" s="52" t="n">
        <f aca="false">IF($P$46=$P$45*($P$45-1)/2,SUM(C45:C47),"")</f>
        <v>2.5</v>
      </c>
      <c r="D48" s="52" t="n">
        <f aca="false">IF($P$46=$P$45*($P$45-1)/2,SUM(D45:D47),"")</f>
        <v>2.5</v>
      </c>
      <c r="E48" s="52" t="n">
        <f aca="false">IF($P$46=$P$45*($P$45-1)/2,SUM(E45:E47),"")</f>
        <v>5</v>
      </c>
      <c r="M48" s="53" t="n">
        <f aca="false">IF($P$46=$P$45*($P$45-1)/2,SUM(M45:M47),"")</f>
        <v>1</v>
      </c>
      <c r="O48" s="48" t="s">
        <v>48</v>
      </c>
      <c r="P48" s="37" t="n">
        <f aca="false">IF(ISNUMBER(P47),(P47-$P$45)/($P$45-1),"")</f>
        <v>0</v>
      </c>
    </row>
    <row r="49" customFormat="false" ht="15" hidden="false" customHeight="false" outlineLevel="0" collapsed="false">
      <c r="A49" s="50"/>
      <c r="B49" s="51" t="s">
        <v>236</v>
      </c>
      <c r="C49" s="53" t="n">
        <f aca="false">M45</f>
        <v>0.4</v>
      </c>
      <c r="D49" s="53" t="n">
        <f aca="false">M46</f>
        <v>0.4</v>
      </c>
      <c r="E49" s="53" t="n">
        <f aca="false">M47</f>
        <v>0.2</v>
      </c>
      <c r="O49" s="48" t="s">
        <v>232</v>
      </c>
      <c r="P49" s="30" t="n">
        <f aca="false">INDEX(راهنما!$C$29:$C$38,MATCH($P$45,راهنما!$B$29:$B$38,0))</f>
        <v>0.58</v>
      </c>
    </row>
    <row r="50" customFormat="false" ht="15" hidden="false" customHeight="false" outlineLevel="0" collapsed="false">
      <c r="O50" s="48" t="s">
        <v>50</v>
      </c>
      <c r="P50" s="41" t="n">
        <f aca="false">IF(ISNUMBER(P48),IF(P49=0,0,MAX(0,P48)/P49),"")</f>
        <v>0</v>
      </c>
    </row>
    <row r="51" customFormat="false" ht="15" hidden="false" customHeight="false" outlineLevel="0" collapsed="false">
      <c r="O51" s="48" t="s">
        <v>83</v>
      </c>
      <c r="P51" s="10" t="str">
        <f aca="false">IF(NOT($P$46=$P$45*($P$45-1)/2),"ناقص",IF(P50&lt;=$P$3,"سازگار","ناسازگار"))</f>
        <v>سازگار</v>
      </c>
    </row>
    <row r="52" customFormat="false" ht="15" hidden="false" customHeight="false" outlineLevel="0" collapsed="false">
      <c r="O52" s="48" t="s">
        <v>233</v>
      </c>
      <c r="P52" s="30" t="n">
        <f aca="false">IF(COUNT(AA45:AA47)=0,"",MAX(AA45:AA47))</f>
        <v>1</v>
      </c>
    </row>
    <row r="53" customFormat="false" ht="15" hidden="false" customHeight="false" outlineLevel="0" collapsed="false">
      <c r="O53" s="48" t="s">
        <v>234</v>
      </c>
      <c r="P53" s="19" t="str">
        <f aca="false">IF(ISNUMBER(P52),INDEX(A45:A47,MATCH(P52,AA45:AA47,0))&amp;" و "&amp;INDEX(C44:E44,MATCH(P52,INDEX(R45:T47,MATCH(P52,AA45:AA47,0),0),0)),"")</f>
        <v>گ۸ و گ۹</v>
      </c>
    </row>
    <row r="55" customFormat="false" ht="15" hidden="false" customHeight="false" outlineLevel="0" collapsed="false">
      <c r="A55" s="45" t="s">
        <v>240</v>
      </c>
      <c r="B55" s="45"/>
      <c r="C55" s="45"/>
      <c r="D55" s="45"/>
      <c r="E55" s="45"/>
      <c r="F55" s="45"/>
      <c r="G55" s="45"/>
      <c r="H55" s="45"/>
      <c r="I55" s="45"/>
      <c r="J55" s="45"/>
      <c r="K55" s="45"/>
      <c r="L55" s="45"/>
      <c r="M55" s="45"/>
      <c r="Q55" s="46" t="s">
        <v>224</v>
      </c>
      <c r="R55" s="46"/>
      <c r="S55" s="46"/>
      <c r="T55" s="46"/>
      <c r="U55" s="46"/>
      <c r="V55" s="46"/>
      <c r="W55" s="46"/>
      <c r="X55" s="46"/>
      <c r="Y55" s="46"/>
      <c r="Z55" s="46"/>
      <c r="AA55" s="46"/>
    </row>
    <row r="56" customFormat="false" ht="27.75" hidden="false" customHeight="true" outlineLevel="0" collapsed="false">
      <c r="A56" s="8" t="s">
        <v>199</v>
      </c>
      <c r="B56" s="8" t="s">
        <v>225</v>
      </c>
      <c r="C56" s="8" t="s">
        <v>137</v>
      </c>
      <c r="D56" s="8" t="s">
        <v>139</v>
      </c>
      <c r="E56" s="8" t="s">
        <v>141</v>
      </c>
      <c r="F56" s="8" t="s">
        <v>143</v>
      </c>
      <c r="L56" s="7" t="s">
        <v>226</v>
      </c>
      <c r="M56" s="8" t="s">
        <v>227</v>
      </c>
      <c r="Q56" s="8" t="s">
        <v>199</v>
      </c>
      <c r="R56" s="8" t="s">
        <v>137</v>
      </c>
      <c r="S56" s="8" t="s">
        <v>139</v>
      </c>
      <c r="T56" s="8" t="s">
        <v>141</v>
      </c>
      <c r="U56" s="8" t="s">
        <v>143</v>
      </c>
      <c r="AA56" s="47" t="s">
        <v>228</v>
      </c>
    </row>
    <row r="57" customFormat="false" ht="27" hidden="false" customHeight="true" outlineLevel="0" collapsed="false">
      <c r="A57" s="19" t="s">
        <v>137</v>
      </c>
      <c r="B57" s="9" t="s">
        <v>138</v>
      </c>
      <c r="C57" s="31" t="n">
        <v>1</v>
      </c>
      <c r="D57" s="31" t="n">
        <f aca="false">نسبت!L57</f>
        <v>1</v>
      </c>
      <c r="E57" s="31" t="n">
        <f aca="false">نسبت!L58</f>
        <v>1</v>
      </c>
      <c r="F57" s="31" t="n">
        <f aca="false">نسبت!L59</f>
        <v>1</v>
      </c>
      <c r="L57" s="37" t="n">
        <f aca="false">IF($P$58=$P$57*($P$57-1)/2,GEOMEAN(C57:F57),"")</f>
        <v>1</v>
      </c>
      <c r="M57" s="36" t="n">
        <f aca="false">IF($P$58=$P$57*($P$57-1)/2,L57/SUM($L$57:$L$60),"")</f>
        <v>0.25</v>
      </c>
      <c r="O57" s="48" t="s">
        <v>229</v>
      </c>
      <c r="P57" s="11" t="n">
        <f aca="false">ROWS(A57:A60)</f>
        <v>4</v>
      </c>
      <c r="Q57" s="8" t="s">
        <v>137</v>
      </c>
      <c r="S57" s="30" t="n">
        <f aca="false">IF(AND(ISNUMBER(D57),ISNUMBER($M57),ISNUMBER($M58)),MAX(D57*$M58/$M57,$M57/(D57*$M58)),"")</f>
        <v>1</v>
      </c>
      <c r="T57" s="30" t="n">
        <f aca="false">IF(AND(ISNUMBER(E57),ISNUMBER($M57),ISNUMBER($M59)),MAX(E57*$M59/$M57,$M57/(E57*$M59)),"")</f>
        <v>1</v>
      </c>
      <c r="U57" s="30" t="n">
        <f aca="false">IF(AND(ISNUMBER(F57),ISNUMBER($M57),ISNUMBER($M60)),MAX(F57*$M60/$M57,$M57/(F57*$M60)),"")</f>
        <v>1</v>
      </c>
      <c r="AA57" s="49" t="n">
        <f aca="false">IF(COUNT(R57:U57)=0,"",MAX(R57:U57))</f>
        <v>1</v>
      </c>
    </row>
    <row r="58" customFormat="false" ht="27" hidden="false" customHeight="true" outlineLevel="0" collapsed="false">
      <c r="A58" s="19" t="s">
        <v>139</v>
      </c>
      <c r="B58" s="9" t="s">
        <v>140</v>
      </c>
      <c r="C58" s="31" t="n">
        <f aca="false">IF(ISNUMBER(D57),1/D57,"")</f>
        <v>1</v>
      </c>
      <c r="D58" s="31" t="n">
        <v>1</v>
      </c>
      <c r="E58" s="31" t="n">
        <f aca="false">نسبت!L60</f>
        <v>1</v>
      </c>
      <c r="F58" s="31" t="n">
        <f aca="false">نسبت!L61</f>
        <v>1</v>
      </c>
      <c r="L58" s="37" t="n">
        <f aca="false">IF($P$58=$P$57*($P$57-1)/2,GEOMEAN(C58:F58),"")</f>
        <v>1</v>
      </c>
      <c r="M58" s="36" t="n">
        <f aca="false">IF($P$58=$P$57*($P$57-1)/2,L58/SUM($L$57:$L$60),"")</f>
        <v>0.25</v>
      </c>
      <c r="O58" s="48" t="s">
        <v>230</v>
      </c>
      <c r="P58" s="11" t="n">
        <f aca="false">(COUNT(C57:F60)-$P$57)/2</f>
        <v>6</v>
      </c>
      <c r="Q58" s="8" t="s">
        <v>139</v>
      </c>
      <c r="T58" s="30" t="n">
        <f aca="false">IF(AND(ISNUMBER(E58),ISNUMBER($M58),ISNUMBER($M59)),MAX(E58*$M59/$M58,$M58/(E58*$M59)),"")</f>
        <v>1</v>
      </c>
      <c r="U58" s="30" t="n">
        <f aca="false">IF(AND(ISNUMBER(F58),ISNUMBER($M58),ISNUMBER($M60)),MAX(F58*$M60/$M58,$M58/(F58*$M60)),"")</f>
        <v>1</v>
      </c>
      <c r="AA58" s="49" t="n">
        <f aca="false">IF(COUNT(R58:U58)=0,"",MAX(R58:U58))</f>
        <v>1</v>
      </c>
    </row>
    <row r="59" customFormat="false" ht="27" hidden="false" customHeight="true" outlineLevel="0" collapsed="false">
      <c r="A59" s="19" t="s">
        <v>141</v>
      </c>
      <c r="B59" s="9" t="s">
        <v>142</v>
      </c>
      <c r="C59" s="31" t="n">
        <f aca="false">IF(ISNUMBER(E57),1/E57,"")</f>
        <v>1</v>
      </c>
      <c r="D59" s="31" t="n">
        <f aca="false">IF(ISNUMBER(E58),1/E58,"")</f>
        <v>1</v>
      </c>
      <c r="E59" s="31" t="n">
        <v>1</v>
      </c>
      <c r="F59" s="31" t="n">
        <f aca="false">نسبت!L62</f>
        <v>1</v>
      </c>
      <c r="L59" s="37" t="n">
        <f aca="false">IF($P$58=$P$57*($P$57-1)/2,GEOMEAN(C59:F59),"")</f>
        <v>1</v>
      </c>
      <c r="M59" s="36" t="n">
        <f aca="false">IF($P$58=$P$57*($P$57-1)/2,L59/SUM($L$57:$L$60),"")</f>
        <v>0.25</v>
      </c>
      <c r="O59" s="48" t="s">
        <v>231</v>
      </c>
      <c r="P59" s="37" t="n">
        <f aca="false">IF($P$58=$P$57*($P$57-1)/2,SUMPRODUCT(C61:F61,C62:F62),"")</f>
        <v>4</v>
      </c>
      <c r="Q59" s="8" t="s">
        <v>141</v>
      </c>
      <c r="U59" s="30" t="n">
        <f aca="false">IF(AND(ISNUMBER(F59),ISNUMBER($M59),ISNUMBER($M60)),MAX(F59*$M60/$M59,$M59/(F59*$M60)),"")</f>
        <v>1</v>
      </c>
      <c r="AA59" s="49" t="n">
        <f aca="false">IF(COUNT(R59:U59)=0,"",MAX(R59:U59))</f>
        <v>1</v>
      </c>
    </row>
    <row r="60" customFormat="false" ht="27" hidden="false" customHeight="true" outlineLevel="0" collapsed="false">
      <c r="A60" s="19" t="s">
        <v>143</v>
      </c>
      <c r="B60" s="9" t="s">
        <v>144</v>
      </c>
      <c r="C60" s="31" t="n">
        <f aca="false">IF(ISNUMBER(F57),1/F57,"")</f>
        <v>1</v>
      </c>
      <c r="D60" s="31" t="n">
        <f aca="false">IF(ISNUMBER(F58),1/F58,"")</f>
        <v>1</v>
      </c>
      <c r="E60" s="31" t="n">
        <f aca="false">IF(ISNUMBER(F59),1/F59,"")</f>
        <v>1</v>
      </c>
      <c r="F60" s="31" t="n">
        <v>1</v>
      </c>
      <c r="L60" s="37" t="n">
        <f aca="false">IF($P$58=$P$57*($P$57-1)/2,GEOMEAN(C60:F60),"")</f>
        <v>1</v>
      </c>
      <c r="M60" s="36" t="n">
        <f aca="false">IF($P$58=$P$57*($P$57-1)/2,L60/SUM($L$57:$L$60),"")</f>
        <v>0.25</v>
      </c>
      <c r="O60" s="48" t="s">
        <v>48</v>
      </c>
      <c r="P60" s="37" t="n">
        <f aca="false">IF(ISNUMBER(P59),(P59-$P$57)/($P$57-1),"")</f>
        <v>0</v>
      </c>
      <c r="Q60" s="8" t="s">
        <v>143</v>
      </c>
    </row>
    <row r="61" customFormat="false" ht="15" hidden="false" customHeight="false" outlineLevel="0" collapsed="false">
      <c r="A61" s="50"/>
      <c r="B61" s="51" t="s">
        <v>235</v>
      </c>
      <c r="C61" s="52" t="n">
        <f aca="false">IF($P$58=$P$57*($P$57-1)/2,SUM(C57:C60),"")</f>
        <v>4</v>
      </c>
      <c r="D61" s="52" t="n">
        <f aca="false">IF($P$58=$P$57*($P$57-1)/2,SUM(D57:D60),"")</f>
        <v>4</v>
      </c>
      <c r="E61" s="52" t="n">
        <f aca="false">IF($P$58=$P$57*($P$57-1)/2,SUM(E57:E60),"")</f>
        <v>4</v>
      </c>
      <c r="F61" s="52" t="n">
        <f aca="false">IF($P$58=$P$57*($P$57-1)/2,SUM(F57:F60),"")</f>
        <v>4</v>
      </c>
      <c r="M61" s="53" t="n">
        <f aca="false">IF($P$58=$P$57*($P$57-1)/2,SUM(M57:M60),"")</f>
        <v>1</v>
      </c>
      <c r="O61" s="48" t="s">
        <v>232</v>
      </c>
      <c r="P61" s="30" t="n">
        <f aca="false">INDEX(راهنما!$C$29:$C$38,MATCH($P$57,راهنما!$B$29:$B$38,0))</f>
        <v>0.9</v>
      </c>
    </row>
    <row r="62" customFormat="false" ht="15" hidden="false" customHeight="false" outlineLevel="0" collapsed="false">
      <c r="A62" s="50"/>
      <c r="B62" s="51" t="s">
        <v>236</v>
      </c>
      <c r="C62" s="53" t="n">
        <f aca="false">M57</f>
        <v>0.25</v>
      </c>
      <c r="D62" s="53" t="n">
        <f aca="false">M58</f>
        <v>0.25</v>
      </c>
      <c r="E62" s="53" t="n">
        <f aca="false">M59</f>
        <v>0.25</v>
      </c>
      <c r="F62" s="53" t="n">
        <f aca="false">M60</f>
        <v>0.25</v>
      </c>
      <c r="O62" s="48" t="s">
        <v>50</v>
      </c>
      <c r="P62" s="41" t="n">
        <f aca="false">IF(ISNUMBER(P60),IF(P61=0,0,MAX(0,P60)/P61),"")</f>
        <v>0</v>
      </c>
    </row>
    <row r="63" customFormat="false" ht="15" hidden="false" customHeight="false" outlineLevel="0" collapsed="false">
      <c r="O63" s="48" t="s">
        <v>83</v>
      </c>
      <c r="P63" s="10" t="str">
        <f aca="false">IF(NOT($P$58=$P$57*($P$57-1)/2),"ناقص",IF(P62&lt;=$P$3,"سازگار","ناسازگار"))</f>
        <v>سازگار</v>
      </c>
    </row>
    <row r="64" customFormat="false" ht="15" hidden="false" customHeight="false" outlineLevel="0" collapsed="false">
      <c r="O64" s="48" t="s">
        <v>233</v>
      </c>
      <c r="P64" s="30" t="n">
        <f aca="false">IF(COUNT(AA57:AA60)=0,"",MAX(AA57:AA60))</f>
        <v>1</v>
      </c>
    </row>
    <row r="65" customFormat="false" ht="15" hidden="false" customHeight="false" outlineLevel="0" collapsed="false">
      <c r="O65" s="48" t="s">
        <v>234</v>
      </c>
      <c r="P65" s="19" t="str">
        <f aca="false">IF(ISNUMBER(P64),INDEX(A57:A60,MATCH(P64,AA57:AA60,0))&amp;" و "&amp;INDEX(C56:F56,MATCH(P64,INDEX(R57:U60,MATCH(P64,AA57:AA60,0),0),0)),"")</f>
        <v>گ۱۱ و گ۱۲</v>
      </c>
    </row>
    <row r="67" customFormat="false" ht="15" hidden="false" customHeight="false" outlineLevel="0" collapsed="false">
      <c r="A67" s="45" t="s">
        <v>241</v>
      </c>
      <c r="B67" s="45"/>
      <c r="C67" s="45"/>
      <c r="D67" s="45"/>
      <c r="E67" s="45"/>
      <c r="F67" s="45"/>
      <c r="G67" s="45"/>
      <c r="H67" s="45"/>
      <c r="I67" s="45"/>
      <c r="J67" s="45"/>
      <c r="K67" s="45"/>
      <c r="L67" s="45"/>
      <c r="M67" s="45"/>
      <c r="Q67" s="46" t="s">
        <v>224</v>
      </c>
      <c r="R67" s="46"/>
      <c r="S67" s="46"/>
      <c r="T67" s="46"/>
      <c r="U67" s="46"/>
      <c r="V67" s="46"/>
      <c r="W67" s="46"/>
      <c r="X67" s="46"/>
      <c r="Y67" s="46"/>
      <c r="Z67" s="46"/>
      <c r="AA67" s="46"/>
    </row>
    <row r="68" customFormat="false" ht="27.75" hidden="false" customHeight="true" outlineLevel="0" collapsed="false">
      <c r="A68" s="8" t="s">
        <v>199</v>
      </c>
      <c r="B68" s="8" t="s">
        <v>225</v>
      </c>
      <c r="C68" s="8" t="s">
        <v>145</v>
      </c>
      <c r="D68" s="8" t="s">
        <v>147</v>
      </c>
      <c r="E68" s="8" t="s">
        <v>149</v>
      </c>
      <c r="F68" s="8" t="s">
        <v>151</v>
      </c>
      <c r="L68" s="7" t="s">
        <v>226</v>
      </c>
      <c r="M68" s="8" t="s">
        <v>227</v>
      </c>
      <c r="Q68" s="8" t="s">
        <v>199</v>
      </c>
      <c r="R68" s="8" t="s">
        <v>145</v>
      </c>
      <c r="S68" s="8" t="s">
        <v>147</v>
      </c>
      <c r="T68" s="8" t="s">
        <v>149</v>
      </c>
      <c r="U68" s="8" t="s">
        <v>151</v>
      </c>
      <c r="AA68" s="47" t="s">
        <v>228</v>
      </c>
    </row>
    <row r="69" customFormat="false" ht="27" hidden="false" customHeight="true" outlineLevel="0" collapsed="false">
      <c r="A69" s="19" t="s">
        <v>145</v>
      </c>
      <c r="B69" s="9" t="s">
        <v>146</v>
      </c>
      <c r="C69" s="31" t="n">
        <v>1</v>
      </c>
      <c r="D69" s="31" t="n">
        <f aca="false">نسبت!L63</f>
        <v>1</v>
      </c>
      <c r="E69" s="31" t="n">
        <f aca="false">نسبت!L64</f>
        <v>1</v>
      </c>
      <c r="F69" s="31" t="n">
        <f aca="false">نسبت!L65</f>
        <v>1</v>
      </c>
      <c r="L69" s="37" t="n">
        <f aca="false">IF($P$70=$P$69*($P$69-1)/2,GEOMEAN(C69:F69),"")</f>
        <v>1</v>
      </c>
      <c r="M69" s="36" t="n">
        <f aca="false">IF($P$70=$P$69*($P$69-1)/2,L69/SUM($L$69:$L$72),"")</f>
        <v>0.25</v>
      </c>
      <c r="O69" s="48" t="s">
        <v>229</v>
      </c>
      <c r="P69" s="11" t="n">
        <f aca="false">ROWS(A69:A72)</f>
        <v>4</v>
      </c>
      <c r="Q69" s="8" t="s">
        <v>145</v>
      </c>
      <c r="S69" s="30" t="n">
        <f aca="false">IF(AND(ISNUMBER(D69),ISNUMBER($M69),ISNUMBER($M70)),MAX(D69*$M70/$M69,$M69/(D69*$M70)),"")</f>
        <v>1</v>
      </c>
      <c r="T69" s="30" t="n">
        <f aca="false">IF(AND(ISNUMBER(E69),ISNUMBER($M69),ISNUMBER($M71)),MAX(E69*$M71/$M69,$M69/(E69*$M71)),"")</f>
        <v>1</v>
      </c>
      <c r="U69" s="30" t="n">
        <f aca="false">IF(AND(ISNUMBER(F69),ISNUMBER($M69),ISNUMBER($M72)),MAX(F69*$M72/$M69,$M69/(F69*$M72)),"")</f>
        <v>1</v>
      </c>
      <c r="AA69" s="49" t="n">
        <f aca="false">IF(COUNT(R69:U69)=0,"",MAX(R69:U69))</f>
        <v>1</v>
      </c>
    </row>
    <row r="70" customFormat="false" ht="27" hidden="false" customHeight="true" outlineLevel="0" collapsed="false">
      <c r="A70" s="19" t="s">
        <v>147</v>
      </c>
      <c r="B70" s="9" t="s">
        <v>148</v>
      </c>
      <c r="C70" s="31" t="n">
        <f aca="false">IF(ISNUMBER(D69),1/D69,"")</f>
        <v>1</v>
      </c>
      <c r="D70" s="31" t="n">
        <v>1</v>
      </c>
      <c r="E70" s="31" t="n">
        <f aca="false">نسبت!L66</f>
        <v>1</v>
      </c>
      <c r="F70" s="31" t="n">
        <f aca="false">نسبت!L67</f>
        <v>1</v>
      </c>
      <c r="L70" s="37" t="n">
        <f aca="false">IF($P$70=$P$69*($P$69-1)/2,GEOMEAN(C70:F70),"")</f>
        <v>1</v>
      </c>
      <c r="M70" s="36" t="n">
        <f aca="false">IF($P$70=$P$69*($P$69-1)/2,L70/SUM($L$69:$L$72),"")</f>
        <v>0.25</v>
      </c>
      <c r="O70" s="48" t="s">
        <v>230</v>
      </c>
      <c r="P70" s="11" t="n">
        <f aca="false">(COUNT(C69:F72)-$P$69)/2</f>
        <v>6</v>
      </c>
      <c r="Q70" s="8" t="s">
        <v>147</v>
      </c>
      <c r="T70" s="30" t="n">
        <f aca="false">IF(AND(ISNUMBER(E70),ISNUMBER($M70),ISNUMBER($M71)),MAX(E70*$M71/$M70,$M70/(E70*$M71)),"")</f>
        <v>1</v>
      </c>
      <c r="U70" s="30" t="n">
        <f aca="false">IF(AND(ISNUMBER(F70),ISNUMBER($M70),ISNUMBER($M72)),MAX(F70*$M72/$M70,$M70/(F70*$M72)),"")</f>
        <v>1</v>
      </c>
      <c r="AA70" s="49" t="n">
        <f aca="false">IF(COUNT(R70:U70)=0,"",MAX(R70:U70))</f>
        <v>1</v>
      </c>
    </row>
    <row r="71" customFormat="false" ht="27" hidden="false" customHeight="true" outlineLevel="0" collapsed="false">
      <c r="A71" s="19" t="s">
        <v>149</v>
      </c>
      <c r="B71" s="9" t="s">
        <v>150</v>
      </c>
      <c r="C71" s="31" t="n">
        <f aca="false">IF(ISNUMBER(E69),1/E69,"")</f>
        <v>1</v>
      </c>
      <c r="D71" s="31" t="n">
        <f aca="false">IF(ISNUMBER(E70),1/E70,"")</f>
        <v>1</v>
      </c>
      <c r="E71" s="31" t="n">
        <v>1</v>
      </c>
      <c r="F71" s="31" t="n">
        <f aca="false">نسبت!L68</f>
        <v>1</v>
      </c>
      <c r="L71" s="37" t="n">
        <f aca="false">IF($P$70=$P$69*($P$69-1)/2,GEOMEAN(C71:F71),"")</f>
        <v>1</v>
      </c>
      <c r="M71" s="36" t="n">
        <f aca="false">IF($P$70=$P$69*($P$69-1)/2,L71/SUM($L$69:$L$72),"")</f>
        <v>0.25</v>
      </c>
      <c r="O71" s="48" t="s">
        <v>231</v>
      </c>
      <c r="P71" s="37" t="n">
        <f aca="false">IF($P$70=$P$69*($P$69-1)/2,SUMPRODUCT(C73:F73,C74:F74),"")</f>
        <v>4</v>
      </c>
      <c r="Q71" s="8" t="s">
        <v>149</v>
      </c>
      <c r="U71" s="30" t="n">
        <f aca="false">IF(AND(ISNUMBER(F71),ISNUMBER($M71),ISNUMBER($M72)),MAX(F71*$M72/$M71,$M71/(F71*$M72)),"")</f>
        <v>1</v>
      </c>
      <c r="AA71" s="49" t="n">
        <f aca="false">IF(COUNT(R71:U71)=0,"",MAX(R71:U71))</f>
        <v>1</v>
      </c>
    </row>
    <row r="72" customFormat="false" ht="27" hidden="false" customHeight="true" outlineLevel="0" collapsed="false">
      <c r="A72" s="19" t="s">
        <v>151</v>
      </c>
      <c r="B72" s="9" t="s">
        <v>152</v>
      </c>
      <c r="C72" s="31" t="n">
        <f aca="false">IF(ISNUMBER(F69),1/F69,"")</f>
        <v>1</v>
      </c>
      <c r="D72" s="31" t="n">
        <f aca="false">IF(ISNUMBER(F70),1/F70,"")</f>
        <v>1</v>
      </c>
      <c r="E72" s="31" t="n">
        <f aca="false">IF(ISNUMBER(F71),1/F71,"")</f>
        <v>1</v>
      </c>
      <c r="F72" s="31" t="n">
        <v>1</v>
      </c>
      <c r="L72" s="37" t="n">
        <f aca="false">IF($P$70=$P$69*($P$69-1)/2,GEOMEAN(C72:F72),"")</f>
        <v>1</v>
      </c>
      <c r="M72" s="36" t="n">
        <f aca="false">IF($P$70=$P$69*($P$69-1)/2,L72/SUM($L$69:$L$72),"")</f>
        <v>0.25</v>
      </c>
      <c r="O72" s="48" t="s">
        <v>48</v>
      </c>
      <c r="P72" s="37" t="n">
        <f aca="false">IF(ISNUMBER(P71),(P71-$P$69)/($P$69-1),"")</f>
        <v>0</v>
      </c>
      <c r="Q72" s="8" t="s">
        <v>151</v>
      </c>
    </row>
    <row r="73" customFormat="false" ht="15" hidden="false" customHeight="false" outlineLevel="0" collapsed="false">
      <c r="A73" s="50"/>
      <c r="B73" s="51" t="s">
        <v>235</v>
      </c>
      <c r="C73" s="52" t="n">
        <f aca="false">IF($P$70=$P$69*($P$69-1)/2,SUM(C69:C72),"")</f>
        <v>4</v>
      </c>
      <c r="D73" s="52" t="n">
        <f aca="false">IF($P$70=$P$69*($P$69-1)/2,SUM(D69:D72),"")</f>
        <v>4</v>
      </c>
      <c r="E73" s="52" t="n">
        <f aca="false">IF($P$70=$P$69*($P$69-1)/2,SUM(E69:E72),"")</f>
        <v>4</v>
      </c>
      <c r="F73" s="52" t="n">
        <f aca="false">IF($P$70=$P$69*($P$69-1)/2,SUM(F69:F72),"")</f>
        <v>4</v>
      </c>
      <c r="M73" s="53" t="n">
        <f aca="false">IF($P$70=$P$69*($P$69-1)/2,SUM(M69:M72),"")</f>
        <v>1</v>
      </c>
      <c r="O73" s="48" t="s">
        <v>232</v>
      </c>
      <c r="P73" s="30" t="n">
        <f aca="false">INDEX(راهنما!$C$29:$C$38,MATCH($P$69,راهنما!$B$29:$B$38,0))</f>
        <v>0.9</v>
      </c>
    </row>
    <row r="74" customFormat="false" ht="15" hidden="false" customHeight="false" outlineLevel="0" collapsed="false">
      <c r="A74" s="50"/>
      <c r="B74" s="51" t="s">
        <v>236</v>
      </c>
      <c r="C74" s="53" t="n">
        <f aca="false">M69</f>
        <v>0.25</v>
      </c>
      <c r="D74" s="53" t="n">
        <f aca="false">M70</f>
        <v>0.25</v>
      </c>
      <c r="E74" s="53" t="n">
        <f aca="false">M71</f>
        <v>0.25</v>
      </c>
      <c r="F74" s="53" t="n">
        <f aca="false">M72</f>
        <v>0.25</v>
      </c>
      <c r="O74" s="48" t="s">
        <v>50</v>
      </c>
      <c r="P74" s="41" t="n">
        <f aca="false">IF(ISNUMBER(P72),IF(P73=0,0,MAX(0,P72)/P73),"")</f>
        <v>0</v>
      </c>
    </row>
    <row r="75" customFormat="false" ht="15" hidden="false" customHeight="false" outlineLevel="0" collapsed="false">
      <c r="O75" s="48" t="s">
        <v>83</v>
      </c>
      <c r="P75" s="10" t="str">
        <f aca="false">IF(NOT($P$70=$P$69*($P$69-1)/2),"ناقص",IF(P74&lt;=$P$3,"سازگار","ناسازگار"))</f>
        <v>سازگار</v>
      </c>
    </row>
    <row r="76" customFormat="false" ht="15" hidden="false" customHeight="false" outlineLevel="0" collapsed="false">
      <c r="O76" s="48" t="s">
        <v>233</v>
      </c>
      <c r="P76" s="30" t="n">
        <f aca="false">IF(COUNT(AA69:AA72)=0,"",MAX(AA69:AA72))</f>
        <v>1</v>
      </c>
    </row>
    <row r="77" customFormat="false" ht="15" hidden="false" customHeight="false" outlineLevel="0" collapsed="false">
      <c r="O77" s="48" t="s">
        <v>234</v>
      </c>
      <c r="P77" s="19" t="str">
        <f aca="false">IF(ISNUMBER(P76),INDEX(A69:A72,MATCH(P76,AA69:AA72,0))&amp;" و "&amp;INDEX(C68:F68,MATCH(P76,INDEX(R69:U72,MATCH(P76,AA69:AA72,0),0),0)),"")</f>
        <v>گ۱۵ و گ۱۶</v>
      </c>
    </row>
    <row r="79" customFormat="false" ht="15" hidden="false" customHeight="false" outlineLevel="0" collapsed="false">
      <c r="A79" s="45" t="s">
        <v>242</v>
      </c>
      <c r="B79" s="45"/>
      <c r="C79" s="45"/>
      <c r="D79" s="45"/>
      <c r="E79" s="45"/>
      <c r="F79" s="45"/>
      <c r="G79" s="45"/>
      <c r="H79" s="45"/>
      <c r="I79" s="45"/>
      <c r="J79" s="45"/>
      <c r="K79" s="45"/>
      <c r="L79" s="45"/>
      <c r="M79" s="45"/>
      <c r="Q79" s="46" t="s">
        <v>224</v>
      </c>
      <c r="R79" s="46"/>
      <c r="S79" s="46"/>
      <c r="T79" s="46"/>
      <c r="U79" s="46"/>
      <c r="V79" s="46"/>
      <c r="W79" s="46"/>
      <c r="X79" s="46"/>
      <c r="Y79" s="46"/>
      <c r="Z79" s="46"/>
      <c r="AA79" s="46"/>
    </row>
    <row r="80" customFormat="false" ht="27.75" hidden="false" customHeight="true" outlineLevel="0" collapsed="false">
      <c r="A80" s="8" t="s">
        <v>199</v>
      </c>
      <c r="B80" s="8" t="s">
        <v>225</v>
      </c>
      <c r="C80" s="8" t="s">
        <v>153</v>
      </c>
      <c r="D80" s="8" t="s">
        <v>155</v>
      </c>
      <c r="E80" s="8" t="s">
        <v>157</v>
      </c>
      <c r="L80" s="7" t="s">
        <v>226</v>
      </c>
      <c r="M80" s="8" t="s">
        <v>227</v>
      </c>
      <c r="Q80" s="8" t="s">
        <v>199</v>
      </c>
      <c r="R80" s="8" t="s">
        <v>153</v>
      </c>
      <c r="S80" s="8" t="s">
        <v>155</v>
      </c>
      <c r="T80" s="8" t="s">
        <v>157</v>
      </c>
      <c r="AA80" s="47" t="s">
        <v>228</v>
      </c>
    </row>
    <row r="81" customFormat="false" ht="27" hidden="false" customHeight="true" outlineLevel="0" collapsed="false">
      <c r="A81" s="19" t="s">
        <v>153</v>
      </c>
      <c r="B81" s="9" t="s">
        <v>154</v>
      </c>
      <c r="C81" s="31" t="n">
        <v>1</v>
      </c>
      <c r="D81" s="31" t="n">
        <f aca="false">نسبت!L69</f>
        <v>2</v>
      </c>
      <c r="E81" s="31" t="n">
        <f aca="false">نسبت!L70</f>
        <v>2</v>
      </c>
      <c r="L81" s="37" t="n">
        <f aca="false">IF($P$82=$P$81*($P$81-1)/2,GEOMEAN(C81:E81),"")</f>
        <v>1.5874010519682</v>
      </c>
      <c r="M81" s="36" t="n">
        <f aca="false">IF($P$82=$P$81*($P$81-1)/2,L81/SUM($L$81:$L$83),"")</f>
        <v>0.5</v>
      </c>
      <c r="O81" s="48" t="s">
        <v>229</v>
      </c>
      <c r="P81" s="11" t="n">
        <f aca="false">ROWS(A81:A83)</f>
        <v>3</v>
      </c>
      <c r="Q81" s="8" t="s">
        <v>153</v>
      </c>
      <c r="S81" s="30" t="n">
        <f aca="false">IF(AND(ISNUMBER(D81),ISNUMBER($M81),ISNUMBER($M82)),MAX(D81*$M82/$M81,$M81/(D81*$M82)),"")</f>
        <v>1</v>
      </c>
      <c r="T81" s="30" t="n">
        <f aca="false">IF(AND(ISNUMBER(E81),ISNUMBER($M81),ISNUMBER($M83)),MAX(E81*$M83/$M81,$M81/(E81*$M83)),"")</f>
        <v>1</v>
      </c>
      <c r="AA81" s="49" t="n">
        <f aca="false">IF(COUNT(R81:T81)=0,"",MAX(R81:T81))</f>
        <v>1</v>
      </c>
    </row>
    <row r="82" customFormat="false" ht="27" hidden="false" customHeight="true" outlineLevel="0" collapsed="false">
      <c r="A82" s="19" t="s">
        <v>155</v>
      </c>
      <c r="B82" s="9" t="s">
        <v>156</v>
      </c>
      <c r="C82" s="31" t="n">
        <f aca="false">IF(ISNUMBER(D81),1/D81,"")</f>
        <v>0.5</v>
      </c>
      <c r="D82" s="31" t="n">
        <v>1</v>
      </c>
      <c r="E82" s="31" t="n">
        <f aca="false">نسبت!L71</f>
        <v>1</v>
      </c>
      <c r="L82" s="37" t="n">
        <f aca="false">IF($P$82=$P$81*($P$81-1)/2,GEOMEAN(C82:E82),"")</f>
        <v>0.7937005259841</v>
      </c>
      <c r="M82" s="36" t="n">
        <f aca="false">IF($P$82=$P$81*($P$81-1)/2,L82/SUM($L$81:$L$83),"")</f>
        <v>0.25</v>
      </c>
      <c r="O82" s="48" t="s">
        <v>230</v>
      </c>
      <c r="P82" s="11" t="n">
        <f aca="false">(COUNT(C81:E83)-$P$81)/2</f>
        <v>3</v>
      </c>
      <c r="Q82" s="8" t="s">
        <v>155</v>
      </c>
      <c r="T82" s="30" t="n">
        <f aca="false">IF(AND(ISNUMBER(E82),ISNUMBER($M82),ISNUMBER($M83)),MAX(E82*$M83/$M82,$M82/(E82*$M83)),"")</f>
        <v>1</v>
      </c>
      <c r="AA82" s="49" t="n">
        <f aca="false">IF(COUNT(R82:T82)=0,"",MAX(R82:T82))</f>
        <v>1</v>
      </c>
    </row>
    <row r="83" customFormat="false" ht="27" hidden="false" customHeight="true" outlineLevel="0" collapsed="false">
      <c r="A83" s="19" t="s">
        <v>157</v>
      </c>
      <c r="B83" s="9" t="s">
        <v>158</v>
      </c>
      <c r="C83" s="31" t="n">
        <f aca="false">IF(ISNUMBER(E81),1/E81,"")</f>
        <v>0.5</v>
      </c>
      <c r="D83" s="31" t="n">
        <f aca="false">IF(ISNUMBER(E82),1/E82,"")</f>
        <v>1</v>
      </c>
      <c r="E83" s="31" t="n">
        <v>1</v>
      </c>
      <c r="L83" s="37" t="n">
        <f aca="false">IF($P$82=$P$81*($P$81-1)/2,GEOMEAN(C83:E83),"")</f>
        <v>0.7937005259841</v>
      </c>
      <c r="M83" s="36" t="n">
        <f aca="false">IF($P$82=$P$81*($P$81-1)/2,L83/SUM($L$81:$L$83),"")</f>
        <v>0.25</v>
      </c>
      <c r="O83" s="48" t="s">
        <v>231</v>
      </c>
      <c r="P83" s="37" t="n">
        <f aca="false">IF($P$82=$P$81*($P$81-1)/2,SUMPRODUCT(C84:E84,C85:E85),"")</f>
        <v>3</v>
      </c>
      <c r="Q83" s="8" t="s">
        <v>157</v>
      </c>
    </row>
    <row r="84" customFormat="false" ht="15" hidden="false" customHeight="false" outlineLevel="0" collapsed="false">
      <c r="A84" s="50"/>
      <c r="B84" s="51" t="s">
        <v>235</v>
      </c>
      <c r="C84" s="52" t="n">
        <f aca="false">IF($P$82=$P$81*($P$81-1)/2,SUM(C81:C83),"")</f>
        <v>2</v>
      </c>
      <c r="D84" s="52" t="n">
        <f aca="false">IF($P$82=$P$81*($P$81-1)/2,SUM(D81:D83),"")</f>
        <v>4</v>
      </c>
      <c r="E84" s="52" t="n">
        <f aca="false">IF($P$82=$P$81*($P$81-1)/2,SUM(E81:E83),"")</f>
        <v>4</v>
      </c>
      <c r="M84" s="53" t="n">
        <f aca="false">IF($P$82=$P$81*($P$81-1)/2,SUM(M81:M83),"")</f>
        <v>1</v>
      </c>
      <c r="O84" s="48" t="s">
        <v>48</v>
      </c>
      <c r="P84" s="37" t="n">
        <f aca="false">IF(ISNUMBER(P83),(P83-$P$81)/($P$81-1),"")</f>
        <v>0</v>
      </c>
    </row>
    <row r="85" customFormat="false" ht="15" hidden="false" customHeight="false" outlineLevel="0" collapsed="false">
      <c r="A85" s="50"/>
      <c r="B85" s="51" t="s">
        <v>236</v>
      </c>
      <c r="C85" s="53" t="n">
        <f aca="false">M81</f>
        <v>0.5</v>
      </c>
      <c r="D85" s="53" t="n">
        <f aca="false">M82</f>
        <v>0.25</v>
      </c>
      <c r="E85" s="53" t="n">
        <f aca="false">M83</f>
        <v>0.25</v>
      </c>
      <c r="O85" s="48" t="s">
        <v>232</v>
      </c>
      <c r="P85" s="30" t="n">
        <f aca="false">INDEX(راهنما!$C$29:$C$38,MATCH($P$81,راهنما!$B$29:$B$38,0))</f>
        <v>0.58</v>
      </c>
    </row>
    <row r="86" customFormat="false" ht="15" hidden="false" customHeight="false" outlineLevel="0" collapsed="false">
      <c r="O86" s="48" t="s">
        <v>50</v>
      </c>
      <c r="P86" s="41" t="n">
        <f aca="false">IF(ISNUMBER(P84),IF(P85=0,0,MAX(0,P84)/P85),"")</f>
        <v>0</v>
      </c>
    </row>
    <row r="87" customFormat="false" ht="15" hidden="false" customHeight="false" outlineLevel="0" collapsed="false">
      <c r="O87" s="48" t="s">
        <v>83</v>
      </c>
      <c r="P87" s="10" t="str">
        <f aca="false">IF(NOT($P$82=$P$81*($P$81-1)/2),"ناقص",IF(P86&lt;=$P$3,"سازگار","ناسازگار"))</f>
        <v>سازگار</v>
      </c>
    </row>
    <row r="88" customFormat="false" ht="15" hidden="false" customHeight="false" outlineLevel="0" collapsed="false">
      <c r="O88" s="48" t="s">
        <v>233</v>
      </c>
      <c r="P88" s="30" t="n">
        <f aca="false">IF(COUNT(AA81:AA83)=0,"",MAX(AA81:AA83))</f>
        <v>1</v>
      </c>
    </row>
    <row r="89" customFormat="false" ht="15" hidden="false" customHeight="false" outlineLevel="0" collapsed="false">
      <c r="O89" s="48" t="s">
        <v>234</v>
      </c>
      <c r="P89" s="19" t="str">
        <f aca="false">IF(ISNUMBER(P88),INDEX(A81:A83,MATCH(P88,AA81:AA83,0))&amp;" و "&amp;INDEX(C80:E80,MATCH(P88,INDEX(R81:T83,MATCH(P88,AA81:AA83,0),0),0)),"")</f>
        <v>گ۱۹ و گ۲۰</v>
      </c>
    </row>
    <row r="91" customFormat="false" ht="15" hidden="false" customHeight="false" outlineLevel="0" collapsed="false">
      <c r="A91" s="45" t="s">
        <v>243</v>
      </c>
      <c r="B91" s="45"/>
      <c r="C91" s="45"/>
      <c r="D91" s="45"/>
      <c r="E91" s="45"/>
      <c r="F91" s="45"/>
      <c r="G91" s="45"/>
      <c r="H91" s="45"/>
      <c r="I91" s="45"/>
      <c r="J91" s="45"/>
      <c r="K91" s="45"/>
      <c r="L91" s="45"/>
      <c r="M91" s="45"/>
      <c r="Q91" s="46" t="s">
        <v>224</v>
      </c>
      <c r="R91" s="46"/>
      <c r="S91" s="46"/>
      <c r="T91" s="46"/>
      <c r="U91" s="46"/>
      <c r="V91" s="46"/>
      <c r="W91" s="46"/>
      <c r="X91" s="46"/>
      <c r="Y91" s="46"/>
      <c r="Z91" s="46"/>
      <c r="AA91" s="46"/>
    </row>
    <row r="92" customFormat="false" ht="27.75" hidden="false" customHeight="true" outlineLevel="0" collapsed="false">
      <c r="A92" s="8" t="s">
        <v>199</v>
      </c>
      <c r="B92" s="8" t="s">
        <v>225</v>
      </c>
      <c r="C92" s="8" t="s">
        <v>159</v>
      </c>
      <c r="D92" s="8" t="s">
        <v>161</v>
      </c>
      <c r="E92" s="8" t="s">
        <v>163</v>
      </c>
      <c r="L92" s="7" t="s">
        <v>226</v>
      </c>
      <c r="M92" s="8" t="s">
        <v>227</v>
      </c>
      <c r="Q92" s="8" t="s">
        <v>199</v>
      </c>
      <c r="R92" s="8" t="s">
        <v>159</v>
      </c>
      <c r="S92" s="8" t="s">
        <v>161</v>
      </c>
      <c r="T92" s="8" t="s">
        <v>163</v>
      </c>
      <c r="AA92" s="47" t="s">
        <v>228</v>
      </c>
    </row>
    <row r="93" customFormat="false" ht="27" hidden="false" customHeight="true" outlineLevel="0" collapsed="false">
      <c r="A93" s="19" t="s">
        <v>159</v>
      </c>
      <c r="B93" s="9" t="s">
        <v>160</v>
      </c>
      <c r="C93" s="31" t="n">
        <v>1</v>
      </c>
      <c r="D93" s="31" t="n">
        <f aca="false">نسبت!L72</f>
        <v>2</v>
      </c>
      <c r="E93" s="31" t="n">
        <f aca="false">نسبت!L73</f>
        <v>2</v>
      </c>
      <c r="L93" s="37" t="n">
        <f aca="false">IF($P$94=$P$93*($P$93-1)/2,GEOMEAN(C93:E93),"")</f>
        <v>1.5874010519682</v>
      </c>
      <c r="M93" s="36" t="n">
        <f aca="false">IF($P$94=$P$93*($P$93-1)/2,L93/SUM($L$93:$L$95),"")</f>
        <v>0.5</v>
      </c>
      <c r="O93" s="48" t="s">
        <v>229</v>
      </c>
      <c r="P93" s="11" t="n">
        <f aca="false">ROWS(A93:A95)</f>
        <v>3</v>
      </c>
      <c r="Q93" s="8" t="s">
        <v>159</v>
      </c>
      <c r="S93" s="30" t="n">
        <f aca="false">IF(AND(ISNUMBER(D93),ISNUMBER($M93),ISNUMBER($M94)),MAX(D93*$M94/$M93,$M93/(D93*$M94)),"")</f>
        <v>1</v>
      </c>
      <c r="T93" s="30" t="n">
        <f aca="false">IF(AND(ISNUMBER(E93),ISNUMBER($M93),ISNUMBER($M95)),MAX(E93*$M95/$M93,$M93/(E93*$M95)),"")</f>
        <v>1</v>
      </c>
      <c r="AA93" s="49" t="n">
        <f aca="false">IF(COUNT(R93:T93)=0,"",MAX(R93:T93))</f>
        <v>1</v>
      </c>
    </row>
    <row r="94" customFormat="false" ht="27" hidden="false" customHeight="true" outlineLevel="0" collapsed="false">
      <c r="A94" s="19" t="s">
        <v>161</v>
      </c>
      <c r="B94" s="9" t="s">
        <v>162</v>
      </c>
      <c r="C94" s="31" t="n">
        <f aca="false">IF(ISNUMBER(D93),1/D93,"")</f>
        <v>0.5</v>
      </c>
      <c r="D94" s="31" t="n">
        <v>1</v>
      </c>
      <c r="E94" s="31" t="n">
        <f aca="false">نسبت!L74</f>
        <v>1</v>
      </c>
      <c r="L94" s="37" t="n">
        <f aca="false">IF($P$94=$P$93*($P$93-1)/2,GEOMEAN(C94:E94),"")</f>
        <v>0.7937005259841</v>
      </c>
      <c r="M94" s="36" t="n">
        <f aca="false">IF($P$94=$P$93*($P$93-1)/2,L94/SUM($L$93:$L$95),"")</f>
        <v>0.25</v>
      </c>
      <c r="O94" s="48" t="s">
        <v>230</v>
      </c>
      <c r="P94" s="11" t="n">
        <f aca="false">(COUNT(C93:E95)-$P$93)/2</f>
        <v>3</v>
      </c>
      <c r="Q94" s="8" t="s">
        <v>161</v>
      </c>
      <c r="T94" s="30" t="n">
        <f aca="false">IF(AND(ISNUMBER(E94),ISNUMBER($M94),ISNUMBER($M95)),MAX(E94*$M95/$M94,$M94/(E94*$M95)),"")</f>
        <v>1</v>
      </c>
      <c r="AA94" s="49" t="n">
        <f aca="false">IF(COUNT(R94:T94)=0,"",MAX(R94:T94))</f>
        <v>1</v>
      </c>
    </row>
    <row r="95" customFormat="false" ht="27" hidden="false" customHeight="true" outlineLevel="0" collapsed="false">
      <c r="A95" s="19" t="s">
        <v>163</v>
      </c>
      <c r="B95" s="9" t="s">
        <v>164</v>
      </c>
      <c r="C95" s="31" t="n">
        <f aca="false">IF(ISNUMBER(E93),1/E93,"")</f>
        <v>0.5</v>
      </c>
      <c r="D95" s="31" t="n">
        <f aca="false">IF(ISNUMBER(E94),1/E94,"")</f>
        <v>1</v>
      </c>
      <c r="E95" s="31" t="n">
        <v>1</v>
      </c>
      <c r="L95" s="37" t="n">
        <f aca="false">IF($P$94=$P$93*($P$93-1)/2,GEOMEAN(C95:E95),"")</f>
        <v>0.7937005259841</v>
      </c>
      <c r="M95" s="36" t="n">
        <f aca="false">IF($P$94=$P$93*($P$93-1)/2,L95/SUM($L$93:$L$95),"")</f>
        <v>0.25</v>
      </c>
      <c r="O95" s="48" t="s">
        <v>231</v>
      </c>
      <c r="P95" s="37" t="n">
        <f aca="false">IF($P$94=$P$93*($P$93-1)/2,SUMPRODUCT(C96:E96,C97:E97),"")</f>
        <v>3</v>
      </c>
      <c r="Q95" s="8" t="s">
        <v>163</v>
      </c>
    </row>
    <row r="96" customFormat="false" ht="15" hidden="false" customHeight="false" outlineLevel="0" collapsed="false">
      <c r="A96" s="50"/>
      <c r="B96" s="51" t="s">
        <v>235</v>
      </c>
      <c r="C96" s="52" t="n">
        <f aca="false">IF($P$94=$P$93*($P$93-1)/2,SUM(C93:C95),"")</f>
        <v>2</v>
      </c>
      <c r="D96" s="52" t="n">
        <f aca="false">IF($P$94=$P$93*($P$93-1)/2,SUM(D93:D95),"")</f>
        <v>4</v>
      </c>
      <c r="E96" s="52" t="n">
        <f aca="false">IF($P$94=$P$93*($P$93-1)/2,SUM(E93:E95),"")</f>
        <v>4</v>
      </c>
      <c r="M96" s="53" t="n">
        <f aca="false">IF($P$94=$P$93*($P$93-1)/2,SUM(M93:M95),"")</f>
        <v>1</v>
      </c>
      <c r="O96" s="48" t="s">
        <v>48</v>
      </c>
      <c r="P96" s="37" t="n">
        <f aca="false">IF(ISNUMBER(P95),(P95-$P$93)/($P$93-1),"")</f>
        <v>0</v>
      </c>
    </row>
    <row r="97" customFormat="false" ht="15" hidden="false" customHeight="false" outlineLevel="0" collapsed="false">
      <c r="A97" s="50"/>
      <c r="B97" s="51" t="s">
        <v>236</v>
      </c>
      <c r="C97" s="53" t="n">
        <f aca="false">M93</f>
        <v>0.5</v>
      </c>
      <c r="D97" s="53" t="n">
        <f aca="false">M94</f>
        <v>0.25</v>
      </c>
      <c r="E97" s="53" t="n">
        <f aca="false">M95</f>
        <v>0.25</v>
      </c>
      <c r="O97" s="48" t="s">
        <v>232</v>
      </c>
      <c r="P97" s="30" t="n">
        <f aca="false">INDEX(راهنما!$C$29:$C$38,MATCH($P$93,راهنما!$B$29:$B$38,0))</f>
        <v>0.58</v>
      </c>
    </row>
    <row r="98" customFormat="false" ht="15" hidden="false" customHeight="false" outlineLevel="0" collapsed="false">
      <c r="O98" s="48" t="s">
        <v>50</v>
      </c>
      <c r="P98" s="41" t="n">
        <f aca="false">IF(ISNUMBER(P96),IF(P97=0,0,MAX(0,P96)/P97),"")</f>
        <v>0</v>
      </c>
    </row>
    <row r="99" customFormat="false" ht="15" hidden="false" customHeight="false" outlineLevel="0" collapsed="false">
      <c r="O99" s="48" t="s">
        <v>83</v>
      </c>
      <c r="P99" s="10" t="str">
        <f aca="false">IF(NOT($P$94=$P$93*($P$93-1)/2),"ناقص",IF(P98&lt;=$P$3,"سازگار","ناسازگار"))</f>
        <v>سازگار</v>
      </c>
    </row>
    <row r="100" customFormat="false" ht="15" hidden="false" customHeight="false" outlineLevel="0" collapsed="false">
      <c r="O100" s="48" t="s">
        <v>233</v>
      </c>
      <c r="P100" s="30" t="n">
        <f aca="false">IF(COUNT(AA93:AA95)=0,"",MAX(AA93:AA95))</f>
        <v>1</v>
      </c>
    </row>
    <row r="101" customFormat="false" ht="15" hidden="false" customHeight="false" outlineLevel="0" collapsed="false">
      <c r="O101" s="48" t="s">
        <v>234</v>
      </c>
      <c r="P101" s="19" t="str">
        <f aca="false">IF(ISNUMBER(P100),INDEX(A93:A95,MATCH(P100,AA93:AA95,0))&amp;" و "&amp;INDEX(C92:E92,MATCH(P100,INDEX(R93:T95,MATCH(P100,AA93:AA95,0),0),0)),"")</f>
        <v>گ۲۲ و گ۲۳</v>
      </c>
    </row>
    <row r="103" customFormat="false" ht="15" hidden="false" customHeight="false" outlineLevel="0" collapsed="false">
      <c r="A103" s="45" t="s">
        <v>244</v>
      </c>
      <c r="B103" s="45"/>
      <c r="C103" s="45"/>
      <c r="D103" s="45"/>
      <c r="E103" s="45"/>
      <c r="F103" s="45"/>
      <c r="G103" s="45"/>
      <c r="H103" s="45"/>
      <c r="I103" s="45"/>
      <c r="J103" s="45"/>
      <c r="K103" s="45"/>
      <c r="L103" s="45"/>
      <c r="M103" s="45"/>
      <c r="Q103" s="46" t="s">
        <v>224</v>
      </c>
      <c r="R103" s="46"/>
      <c r="S103" s="46"/>
      <c r="T103" s="46"/>
      <c r="U103" s="46"/>
      <c r="V103" s="46"/>
      <c r="W103" s="46"/>
      <c r="X103" s="46"/>
      <c r="Y103" s="46"/>
      <c r="Z103" s="46"/>
      <c r="AA103" s="46"/>
    </row>
    <row r="104" customFormat="false" ht="27.75" hidden="false" customHeight="true" outlineLevel="0" collapsed="false">
      <c r="A104" s="8" t="s">
        <v>199</v>
      </c>
      <c r="B104" s="8" t="s">
        <v>225</v>
      </c>
      <c r="C104" s="8" t="s">
        <v>165</v>
      </c>
      <c r="D104" s="8" t="s">
        <v>167</v>
      </c>
      <c r="E104" s="8" t="s">
        <v>169</v>
      </c>
      <c r="L104" s="7" t="s">
        <v>226</v>
      </c>
      <c r="M104" s="8" t="s">
        <v>227</v>
      </c>
      <c r="Q104" s="8" t="s">
        <v>199</v>
      </c>
      <c r="R104" s="8" t="s">
        <v>165</v>
      </c>
      <c r="S104" s="8" t="s">
        <v>167</v>
      </c>
      <c r="T104" s="8" t="s">
        <v>169</v>
      </c>
      <c r="AA104" s="47" t="s">
        <v>228</v>
      </c>
    </row>
    <row r="105" customFormat="false" ht="27" hidden="false" customHeight="true" outlineLevel="0" collapsed="false">
      <c r="A105" s="19" t="s">
        <v>165</v>
      </c>
      <c r="B105" s="9" t="s">
        <v>166</v>
      </c>
      <c r="C105" s="31" t="n">
        <v>1</v>
      </c>
      <c r="D105" s="31" t="n">
        <f aca="false">نسبت!L75</f>
        <v>1</v>
      </c>
      <c r="E105" s="31" t="n">
        <f aca="false">نسبت!L76</f>
        <v>1</v>
      </c>
      <c r="L105" s="37" t="n">
        <f aca="false">IF($P$106=$P$105*($P$105-1)/2,GEOMEAN(C105:E105),"")</f>
        <v>1</v>
      </c>
      <c r="M105" s="36" t="n">
        <f aca="false">IF($P$106=$P$105*($P$105-1)/2,L105/SUM($L$105:$L$107),"")</f>
        <v>0.333333333333333</v>
      </c>
      <c r="O105" s="48" t="s">
        <v>229</v>
      </c>
      <c r="P105" s="11" t="n">
        <f aca="false">ROWS(A105:A107)</f>
        <v>3</v>
      </c>
      <c r="Q105" s="8" t="s">
        <v>165</v>
      </c>
      <c r="S105" s="30" t="n">
        <f aca="false">IF(AND(ISNUMBER(D105),ISNUMBER($M105),ISNUMBER($M106)),MAX(D105*$M106/$M105,$M105/(D105*$M106)),"")</f>
        <v>1</v>
      </c>
      <c r="T105" s="30" t="n">
        <f aca="false">IF(AND(ISNUMBER(E105),ISNUMBER($M105),ISNUMBER($M107)),MAX(E105*$M107/$M105,$M105/(E105*$M107)),"")</f>
        <v>1</v>
      </c>
      <c r="AA105" s="49" t="n">
        <f aca="false">IF(COUNT(R105:T105)=0,"",MAX(R105:T105))</f>
        <v>1</v>
      </c>
    </row>
    <row r="106" customFormat="false" ht="27" hidden="false" customHeight="true" outlineLevel="0" collapsed="false">
      <c r="A106" s="19" t="s">
        <v>167</v>
      </c>
      <c r="B106" s="9" t="s">
        <v>168</v>
      </c>
      <c r="C106" s="31" t="n">
        <f aca="false">IF(ISNUMBER(D105),1/D105,"")</f>
        <v>1</v>
      </c>
      <c r="D106" s="31" t="n">
        <v>1</v>
      </c>
      <c r="E106" s="31" t="n">
        <f aca="false">نسبت!L77</f>
        <v>1</v>
      </c>
      <c r="L106" s="37" t="n">
        <f aca="false">IF($P$106=$P$105*($P$105-1)/2,GEOMEAN(C106:E106),"")</f>
        <v>1</v>
      </c>
      <c r="M106" s="36" t="n">
        <f aca="false">IF($P$106=$P$105*($P$105-1)/2,L106/SUM($L$105:$L$107),"")</f>
        <v>0.333333333333333</v>
      </c>
      <c r="O106" s="48" t="s">
        <v>230</v>
      </c>
      <c r="P106" s="11" t="n">
        <f aca="false">(COUNT(C105:E107)-$P$105)/2</f>
        <v>3</v>
      </c>
      <c r="Q106" s="8" t="s">
        <v>167</v>
      </c>
      <c r="T106" s="30" t="n">
        <f aca="false">IF(AND(ISNUMBER(E106),ISNUMBER($M106),ISNUMBER($M107)),MAX(E106*$M107/$M106,$M106/(E106*$M107)),"")</f>
        <v>1</v>
      </c>
      <c r="AA106" s="49" t="n">
        <f aca="false">IF(COUNT(R106:T106)=0,"",MAX(R106:T106))</f>
        <v>1</v>
      </c>
    </row>
    <row r="107" customFormat="false" ht="27" hidden="false" customHeight="true" outlineLevel="0" collapsed="false">
      <c r="A107" s="19" t="s">
        <v>169</v>
      </c>
      <c r="B107" s="9" t="s">
        <v>170</v>
      </c>
      <c r="C107" s="31" t="n">
        <f aca="false">IF(ISNUMBER(E105),1/E105,"")</f>
        <v>1</v>
      </c>
      <c r="D107" s="31" t="n">
        <f aca="false">IF(ISNUMBER(E106),1/E106,"")</f>
        <v>1</v>
      </c>
      <c r="E107" s="31" t="n">
        <v>1</v>
      </c>
      <c r="L107" s="37" t="n">
        <f aca="false">IF($P$106=$P$105*($P$105-1)/2,GEOMEAN(C107:E107),"")</f>
        <v>1</v>
      </c>
      <c r="M107" s="36" t="n">
        <f aca="false">IF($P$106=$P$105*($P$105-1)/2,L107/SUM($L$105:$L$107),"")</f>
        <v>0.333333333333333</v>
      </c>
      <c r="O107" s="48" t="s">
        <v>231</v>
      </c>
      <c r="P107" s="37" t="n">
        <f aca="false">IF($P$106=$P$105*($P$105-1)/2,SUMPRODUCT(C108:E108,C109:E109),"")</f>
        <v>3</v>
      </c>
      <c r="Q107" s="8" t="s">
        <v>169</v>
      </c>
    </row>
    <row r="108" customFormat="false" ht="15" hidden="false" customHeight="false" outlineLevel="0" collapsed="false">
      <c r="A108" s="50"/>
      <c r="B108" s="51" t="s">
        <v>235</v>
      </c>
      <c r="C108" s="52" t="n">
        <f aca="false">IF($P$106=$P$105*($P$105-1)/2,SUM(C105:C107),"")</f>
        <v>3</v>
      </c>
      <c r="D108" s="52" t="n">
        <f aca="false">IF($P$106=$P$105*($P$105-1)/2,SUM(D105:D107),"")</f>
        <v>3</v>
      </c>
      <c r="E108" s="52" t="n">
        <f aca="false">IF($P$106=$P$105*($P$105-1)/2,SUM(E105:E107),"")</f>
        <v>3</v>
      </c>
      <c r="M108" s="53" t="n">
        <f aca="false">IF($P$106=$P$105*($P$105-1)/2,SUM(M105:M107),"")</f>
        <v>1</v>
      </c>
      <c r="O108" s="48" t="s">
        <v>48</v>
      </c>
      <c r="P108" s="37" t="n">
        <f aca="false">IF(ISNUMBER(P107),(P107-$P$105)/($P$105-1),"")</f>
        <v>0</v>
      </c>
    </row>
    <row r="109" customFormat="false" ht="15" hidden="false" customHeight="false" outlineLevel="0" collapsed="false">
      <c r="A109" s="50"/>
      <c r="B109" s="51" t="s">
        <v>236</v>
      </c>
      <c r="C109" s="53" t="n">
        <f aca="false">M105</f>
        <v>0.333333333333333</v>
      </c>
      <c r="D109" s="53" t="n">
        <f aca="false">M106</f>
        <v>0.333333333333333</v>
      </c>
      <c r="E109" s="53" t="n">
        <f aca="false">M107</f>
        <v>0.333333333333333</v>
      </c>
      <c r="O109" s="48" t="s">
        <v>232</v>
      </c>
      <c r="P109" s="30" t="n">
        <f aca="false">INDEX(راهنما!$C$29:$C$38,MATCH($P$105,راهنما!$B$29:$B$38,0))</f>
        <v>0.58</v>
      </c>
    </row>
    <row r="110" customFormat="false" ht="15" hidden="false" customHeight="false" outlineLevel="0" collapsed="false">
      <c r="O110" s="48" t="s">
        <v>50</v>
      </c>
      <c r="P110" s="41" t="n">
        <f aca="false">IF(ISNUMBER(P108),IF(P109=0,0,MAX(0,P108)/P109),"")</f>
        <v>0</v>
      </c>
    </row>
    <row r="111" customFormat="false" ht="15" hidden="false" customHeight="false" outlineLevel="0" collapsed="false">
      <c r="O111" s="48" t="s">
        <v>83</v>
      </c>
      <c r="P111" s="10" t="str">
        <f aca="false">IF(NOT($P$106=$P$105*($P$105-1)/2),"ناقص",IF(P110&lt;=$P$3,"سازگار","ناسازگار"))</f>
        <v>سازگار</v>
      </c>
    </row>
    <row r="112" customFormat="false" ht="15" hidden="false" customHeight="false" outlineLevel="0" collapsed="false">
      <c r="O112" s="48" t="s">
        <v>233</v>
      </c>
      <c r="P112" s="30" t="n">
        <f aca="false">IF(COUNT(AA105:AA107)=0,"",MAX(AA105:AA107))</f>
        <v>1</v>
      </c>
    </row>
    <row r="113" customFormat="false" ht="15" hidden="false" customHeight="false" outlineLevel="0" collapsed="false">
      <c r="O113" s="48" t="s">
        <v>234</v>
      </c>
      <c r="P113" s="19" t="str">
        <f aca="false">IF(ISNUMBER(P112),INDEX(A105:A107,MATCH(P112,AA105:AA107,0))&amp;" و "&amp;INDEX(C104:E104,MATCH(P112,INDEX(R105:T107,MATCH(P112,AA105:AA107,0),0),0)),"")</f>
        <v>گ۲۵ و گ۲۶</v>
      </c>
    </row>
    <row r="115" customFormat="false" ht="15" hidden="false" customHeight="false" outlineLevel="0" collapsed="false">
      <c r="A115" s="45" t="s">
        <v>245</v>
      </c>
      <c r="B115" s="45"/>
      <c r="C115" s="45"/>
      <c r="D115" s="45"/>
      <c r="E115" s="45"/>
      <c r="F115" s="45"/>
      <c r="G115" s="45"/>
      <c r="H115" s="45"/>
      <c r="I115" s="45"/>
      <c r="J115" s="45"/>
      <c r="K115" s="45"/>
      <c r="L115" s="45"/>
      <c r="M115" s="45"/>
      <c r="Q115" s="46" t="s">
        <v>224</v>
      </c>
      <c r="R115" s="46"/>
      <c r="S115" s="46"/>
      <c r="T115" s="46"/>
      <c r="U115" s="46"/>
      <c r="V115" s="46"/>
      <c r="W115" s="46"/>
      <c r="X115" s="46"/>
      <c r="Y115" s="46"/>
      <c r="Z115" s="46"/>
      <c r="AA115" s="46"/>
    </row>
    <row r="116" customFormat="false" ht="27.75" hidden="false" customHeight="true" outlineLevel="0" collapsed="false">
      <c r="A116" s="8" t="s">
        <v>199</v>
      </c>
      <c r="B116" s="8" t="s">
        <v>225</v>
      </c>
      <c r="C116" s="8" t="s">
        <v>171</v>
      </c>
      <c r="D116" s="8" t="s">
        <v>173</v>
      </c>
      <c r="L116" s="7" t="s">
        <v>226</v>
      </c>
      <c r="M116" s="8" t="s">
        <v>227</v>
      </c>
      <c r="Q116" s="8" t="s">
        <v>199</v>
      </c>
      <c r="R116" s="8" t="s">
        <v>171</v>
      </c>
      <c r="S116" s="8" t="s">
        <v>173</v>
      </c>
      <c r="AA116" s="47" t="s">
        <v>228</v>
      </c>
    </row>
    <row r="117" customFormat="false" ht="27" hidden="false" customHeight="true" outlineLevel="0" collapsed="false">
      <c r="A117" s="19" t="s">
        <v>171</v>
      </c>
      <c r="B117" s="9" t="s">
        <v>172</v>
      </c>
      <c r="C117" s="31" t="n">
        <v>1</v>
      </c>
      <c r="D117" s="31" t="n">
        <f aca="false">نسبت!L78</f>
        <v>2</v>
      </c>
      <c r="L117" s="37" t="n">
        <f aca="false">IF($P$118=$P$117*($P$117-1)/2,GEOMEAN(C117:D117),"")</f>
        <v>1.4142135623731</v>
      </c>
      <c r="M117" s="36" t="n">
        <f aca="false">IF($P$118=$P$117*($P$117-1)/2,L117/SUM($L$117:$L$118),"")</f>
        <v>0.666666666666667</v>
      </c>
      <c r="O117" s="48" t="s">
        <v>229</v>
      </c>
      <c r="P117" s="11" t="n">
        <f aca="false">ROWS(A117:A118)</f>
        <v>2</v>
      </c>
      <c r="Q117" s="8" t="s">
        <v>171</v>
      </c>
      <c r="S117" s="30" t="n">
        <f aca="false">IF(AND(ISNUMBER(D117),ISNUMBER($M117),ISNUMBER($M118)),MAX(D117*$M118/$M117,$M117/(D117*$M118)),"")</f>
        <v>1</v>
      </c>
      <c r="AA117" s="49" t="n">
        <f aca="false">IF(COUNT(R117:S117)=0,"",MAX(R117:S117))</f>
        <v>1</v>
      </c>
    </row>
    <row r="118" customFormat="false" ht="27" hidden="false" customHeight="true" outlineLevel="0" collapsed="false">
      <c r="A118" s="19" t="s">
        <v>173</v>
      </c>
      <c r="B118" s="9" t="s">
        <v>174</v>
      </c>
      <c r="C118" s="31" t="n">
        <f aca="false">IF(ISNUMBER(D117),1/D117,"")</f>
        <v>0.5</v>
      </c>
      <c r="D118" s="31" t="n">
        <v>1</v>
      </c>
      <c r="L118" s="37" t="n">
        <f aca="false">IF($P$118=$P$117*($P$117-1)/2,GEOMEAN(C118:D118),"")</f>
        <v>0.707106781186548</v>
      </c>
      <c r="M118" s="36" t="n">
        <f aca="false">IF($P$118=$P$117*($P$117-1)/2,L118/SUM($L$117:$L$118),"")</f>
        <v>0.333333333333333</v>
      </c>
      <c r="O118" s="48" t="s">
        <v>230</v>
      </c>
      <c r="P118" s="11" t="n">
        <f aca="false">(COUNT(C117:D118)-$P$117)/2</f>
        <v>1</v>
      </c>
      <c r="Q118" s="8" t="s">
        <v>173</v>
      </c>
    </row>
    <row r="119" customFormat="false" ht="15" hidden="false" customHeight="false" outlineLevel="0" collapsed="false">
      <c r="A119" s="50"/>
      <c r="B119" s="51" t="s">
        <v>235</v>
      </c>
      <c r="C119" s="52" t="n">
        <f aca="false">IF($P$118=$P$117*($P$117-1)/2,SUM(C117:C118),"")</f>
        <v>1.5</v>
      </c>
      <c r="D119" s="52" t="n">
        <f aca="false">IF($P$118=$P$117*($P$117-1)/2,SUM(D117:D118),"")</f>
        <v>3</v>
      </c>
      <c r="M119" s="53" t="n">
        <f aca="false">IF($P$118=$P$117*($P$117-1)/2,SUM(M117:M118),"")</f>
        <v>1</v>
      </c>
      <c r="O119" s="48" t="s">
        <v>231</v>
      </c>
      <c r="P119" s="37" t="n">
        <f aca="false">IF($P$118=$P$117*($P$117-1)/2,SUMPRODUCT(C119:D119,C120:D120),"")</f>
        <v>2</v>
      </c>
    </row>
    <row r="120" customFormat="false" ht="15" hidden="false" customHeight="false" outlineLevel="0" collapsed="false">
      <c r="A120" s="50"/>
      <c r="B120" s="51" t="s">
        <v>236</v>
      </c>
      <c r="C120" s="53" t="n">
        <f aca="false">M117</f>
        <v>0.666666666666667</v>
      </c>
      <c r="D120" s="53" t="n">
        <f aca="false">M118</f>
        <v>0.333333333333333</v>
      </c>
      <c r="O120" s="48" t="s">
        <v>48</v>
      </c>
      <c r="P120" s="37" t="n">
        <f aca="false">IF(ISNUMBER(P119),(P119-$P$117)/($P$117-1),"")</f>
        <v>0</v>
      </c>
    </row>
    <row r="121" customFormat="false" ht="15" hidden="false" customHeight="false" outlineLevel="0" collapsed="false">
      <c r="O121" s="48" t="s">
        <v>232</v>
      </c>
      <c r="P121" s="30" t="n">
        <f aca="false">INDEX(راهنما!$C$29:$C$38,MATCH($P$117,راهنما!$B$29:$B$38,0))</f>
        <v>0</v>
      </c>
    </row>
    <row r="122" customFormat="false" ht="15" hidden="false" customHeight="false" outlineLevel="0" collapsed="false">
      <c r="O122" s="48" t="s">
        <v>50</v>
      </c>
      <c r="P122" s="41" t="n">
        <f aca="false">IF(ISNUMBER(P120),IF(P121=0,0,MAX(0,P120)/P121),"")</f>
        <v>0</v>
      </c>
    </row>
    <row r="123" customFormat="false" ht="15" hidden="false" customHeight="false" outlineLevel="0" collapsed="false">
      <c r="O123" s="48" t="s">
        <v>83</v>
      </c>
      <c r="P123" s="10" t="str">
        <f aca="false">IF(NOT($P$118=$P$117*($P$117-1)/2),"ناقص",IF(P122&lt;=$P$3,"سازگار","ناسازگار"))</f>
        <v>سازگار</v>
      </c>
    </row>
    <row r="124" customFormat="false" ht="15" hidden="false" customHeight="false" outlineLevel="0" collapsed="false">
      <c r="O124" s="48" t="s">
        <v>233</v>
      </c>
      <c r="P124" s="30" t="n">
        <f aca="false">IF(COUNT(AA117:AA118)=0,"",MAX(AA117:AA118))</f>
        <v>1</v>
      </c>
    </row>
    <row r="125" customFormat="false" ht="15" hidden="false" customHeight="false" outlineLevel="0" collapsed="false">
      <c r="O125" s="48" t="s">
        <v>234</v>
      </c>
      <c r="P125" s="19" t="str">
        <f aca="false">IF(ISNUMBER(P124),INDEX(A117:A118,MATCH(P124,AA117:AA118,0))&amp;" و "&amp;INDEX(C116:D116,MATCH(P124,INDEX(R117:S118,MATCH(P124,AA117:AA118,0),0),0)),"")</f>
        <v>گ۲۸ و گ۲۹</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2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11" min="3" style="0" width="7.5"/>
    <col collapsed="false" customWidth="true" hidden="false" outlineLevel="0" max="12" min="12" style="0" width="13"/>
    <col collapsed="false" customWidth="true" hidden="false" outlineLevel="0" max="13" min="13" style="0" width="10"/>
    <col collapsed="false" customWidth="true" hidden="false" outlineLevel="0" max="14" min="14" style="0" width="2"/>
    <col collapsed="false" customWidth="true" hidden="false" outlineLevel="0" max="15" min="15" style="0" width="24"/>
    <col collapsed="false" customWidth="true" hidden="false" outlineLevel="0" max="16" min="16" style="0" width="13"/>
    <col collapsed="false" customWidth="true" hidden="false" outlineLevel="0" max="17" min="17" style="0" width="6"/>
    <col collapsed="false" customWidth="true" hidden="false" outlineLevel="0" max="26" min="18" style="0" width="7.5"/>
    <col collapsed="false" customWidth="true" hidden="false" outlineLevel="0" max="27" min="27" style="0" width="10"/>
  </cols>
  <sheetData>
    <row r="1" customFormat="false" ht="25.5" hidden="false" customHeight="true" outlineLevel="0" collapsed="false">
      <c r="A1" s="1" t="s">
        <v>259</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false" outlineLevel="0" collapsed="false">
      <c r="A2" s="42" t="s">
        <v>260</v>
      </c>
    </row>
    <row r="3" customFormat="false" ht="15" hidden="false" customHeight="false" outlineLevel="0" collapsed="false">
      <c r="A3" s="43" t="s">
        <v>248</v>
      </c>
      <c r="B3" s="54" t="n">
        <f aca="false">COUNT(ورودی!M9:M78)</f>
        <v>70</v>
      </c>
      <c r="O3" s="25" t="s">
        <v>177</v>
      </c>
      <c r="P3" s="30" t="n">
        <f aca="false">راهنما!$C$26</f>
        <v>0.1</v>
      </c>
    </row>
    <row r="5" customFormat="false" ht="15" hidden="false" customHeight="false" outlineLevel="0" collapsed="false">
      <c r="A5" s="45" t="s">
        <v>223</v>
      </c>
      <c r="B5" s="45"/>
      <c r="C5" s="45"/>
      <c r="D5" s="45"/>
      <c r="E5" s="45"/>
      <c r="F5" s="45"/>
      <c r="G5" s="45"/>
      <c r="H5" s="45"/>
      <c r="I5" s="45"/>
      <c r="J5" s="45"/>
      <c r="K5" s="45"/>
      <c r="L5" s="45"/>
      <c r="M5" s="45"/>
      <c r="Q5" s="46" t="s">
        <v>224</v>
      </c>
      <c r="R5" s="46"/>
      <c r="S5" s="46"/>
      <c r="T5" s="46"/>
      <c r="U5" s="46"/>
      <c r="V5" s="46"/>
      <c r="W5" s="46"/>
      <c r="X5" s="46"/>
      <c r="Y5" s="46"/>
      <c r="Z5" s="46"/>
      <c r="AA5" s="46"/>
    </row>
    <row r="6" customFormat="false" ht="27.75" hidden="false" customHeight="true" outlineLevel="0" collapsed="false">
      <c r="A6" s="8" t="s">
        <v>199</v>
      </c>
      <c r="B6" s="8" t="s">
        <v>225</v>
      </c>
      <c r="C6" s="8" t="s">
        <v>98</v>
      </c>
      <c r="D6" s="8" t="s">
        <v>100</v>
      </c>
      <c r="E6" s="8" t="s">
        <v>102</v>
      </c>
      <c r="F6" s="8" t="s">
        <v>104</v>
      </c>
      <c r="G6" s="8" t="s">
        <v>106</v>
      </c>
      <c r="H6" s="8" t="s">
        <v>108</v>
      </c>
      <c r="I6" s="8" t="s">
        <v>110</v>
      </c>
      <c r="J6" s="8" t="s">
        <v>112</v>
      </c>
      <c r="K6" s="8" t="s">
        <v>114</v>
      </c>
      <c r="L6" s="7" t="s">
        <v>226</v>
      </c>
      <c r="M6" s="8" t="s">
        <v>227</v>
      </c>
      <c r="Q6" s="8" t="s">
        <v>199</v>
      </c>
      <c r="R6" s="8" t="s">
        <v>98</v>
      </c>
      <c r="S6" s="8" t="s">
        <v>100</v>
      </c>
      <c r="T6" s="8" t="s">
        <v>102</v>
      </c>
      <c r="U6" s="8" t="s">
        <v>104</v>
      </c>
      <c r="V6" s="8" t="s">
        <v>106</v>
      </c>
      <c r="W6" s="8" t="s">
        <v>108</v>
      </c>
      <c r="X6" s="8" t="s">
        <v>110</v>
      </c>
      <c r="Y6" s="8" t="s">
        <v>112</v>
      </c>
      <c r="Z6" s="8" t="s">
        <v>114</v>
      </c>
      <c r="AA6" s="47" t="s">
        <v>228</v>
      </c>
    </row>
    <row r="7" customFormat="false" ht="27" hidden="false" customHeight="true" outlineLevel="0" collapsed="false">
      <c r="A7" s="19" t="s">
        <v>98</v>
      </c>
      <c r="B7" s="9" t="s">
        <v>99</v>
      </c>
      <c r="C7" s="31" t="n">
        <v>1</v>
      </c>
      <c r="D7" s="31" t="n">
        <f aca="false">نسبت!M9</f>
        <v>2</v>
      </c>
      <c r="E7" s="31" t="n">
        <f aca="false">نسبت!M10</f>
        <v>1</v>
      </c>
      <c r="F7" s="31" t="n">
        <f aca="false">نسبت!M11</f>
        <v>1</v>
      </c>
      <c r="G7" s="31" t="n">
        <f aca="false">نسبت!M12</f>
        <v>1</v>
      </c>
      <c r="H7" s="31" t="n">
        <f aca="false">نسبت!M13</f>
        <v>1</v>
      </c>
      <c r="I7" s="31" t="n">
        <f aca="false">نسبت!M14</f>
        <v>1</v>
      </c>
      <c r="J7" s="31" t="n">
        <f aca="false">نسبت!M15</f>
        <v>1</v>
      </c>
      <c r="K7" s="31" t="n">
        <f aca="false">نسبت!M16</f>
        <v>0.5</v>
      </c>
      <c r="L7" s="37" t="n">
        <f aca="false">IF($P$8=$P$7*($P$7-1)/2,GEOMEAN(C7:K7),"")</f>
        <v>1</v>
      </c>
      <c r="M7" s="36" t="n">
        <f aca="false">IF($P$8=$P$7*($P$7-1)/2,L7/SUM($L$7:$L$15),"")</f>
        <v>0.10696110738693</v>
      </c>
      <c r="O7" s="48" t="s">
        <v>229</v>
      </c>
      <c r="P7" s="11" t="n">
        <f aca="false">ROWS(A7:A15)</f>
        <v>9</v>
      </c>
      <c r="Q7" s="8" t="s">
        <v>98</v>
      </c>
      <c r="S7" s="30" t="n">
        <f aca="false">IF(AND(ISNUMBER(D7),ISNUMBER($M7),ISNUMBER($M8)),MAX(D7*$M8/$M7,$M7/(D7*$M8)),"")</f>
        <v>1.25992104989487</v>
      </c>
      <c r="T7" s="30" t="n">
        <f aca="false">IF(AND(ISNUMBER(E7),ISNUMBER($M7),ISNUMBER($M9)),MAX(E7*$M9/$M7,$M7/(E7*$M9)),"")</f>
        <v>1.36079000017438</v>
      </c>
      <c r="U7" s="30" t="n">
        <f aca="false">IF(AND(ISNUMBER(F7),ISNUMBER($M7),ISNUMBER($M10)),MAX(F7*$M10/$M7,$M7/(F7*$M10)),"")</f>
        <v>1.36079000017438</v>
      </c>
      <c r="V7" s="30" t="n">
        <f aca="false">IF(AND(ISNUMBER(G7),ISNUMBER($M7),ISNUMBER($M11)),MAX(G7*$M11/$M7,$M7/(G7*$M11)),"")</f>
        <v>1.25992104989487</v>
      </c>
      <c r="W7" s="30" t="n">
        <f aca="false">IF(AND(ISNUMBER(H7),ISNUMBER($M7),ISNUMBER($M12)),MAX(H7*$M12/$M7,$M7/(H7*$M12)),"")</f>
        <v>1.25992104989487</v>
      </c>
      <c r="X7" s="30" t="n">
        <f aca="false">IF(AND(ISNUMBER(I7),ISNUMBER($M7),ISNUMBER($M13)),MAX(I7*$M13/$M7,$M7/(I7*$M13)),"")</f>
        <v>1</v>
      </c>
      <c r="Y7" s="30" t="n">
        <f aca="false">IF(AND(ISNUMBER(J7),ISNUMBER($M7),ISNUMBER($M14)),MAX(J7*$M14/$M7,$M7/(J7*$M14)),"")</f>
        <v>1.25992104989487</v>
      </c>
      <c r="Z7" s="30" t="n">
        <f aca="false">IF(AND(ISNUMBER(K7),ISNUMBER($M7),ISNUMBER($M15)),MAX(K7*$M15/$M7,$M7/(K7*$M15)),"")</f>
        <v>1.36079000017438</v>
      </c>
      <c r="AA7" s="49" t="n">
        <f aca="false">IF(COUNT(R7:Z7)=0,"",MAX(R7:Z7))</f>
        <v>1.36079000017438</v>
      </c>
    </row>
    <row r="8" customFormat="false" ht="27" hidden="false" customHeight="true" outlineLevel="0" collapsed="false">
      <c r="A8" s="19" t="s">
        <v>100</v>
      </c>
      <c r="B8" s="9" t="s">
        <v>101</v>
      </c>
      <c r="C8" s="31" t="n">
        <f aca="false">IF(ISNUMBER(D7),1/D7,"")</f>
        <v>0.5</v>
      </c>
      <c r="D8" s="31" t="n">
        <v>1</v>
      </c>
      <c r="E8" s="31" t="n">
        <f aca="false">نسبت!M17</f>
        <v>1</v>
      </c>
      <c r="F8" s="31" t="n">
        <f aca="false">نسبت!M18</f>
        <v>1</v>
      </c>
      <c r="G8" s="31" t="n">
        <f aca="false">نسبت!M19</f>
        <v>0.5</v>
      </c>
      <c r="H8" s="31" t="n">
        <f aca="false">نسبت!M20</f>
        <v>0.5</v>
      </c>
      <c r="I8" s="31" t="n">
        <f aca="false">نسبت!M21</f>
        <v>0.5</v>
      </c>
      <c r="J8" s="31" t="n">
        <f aca="false">نسبت!M22</f>
        <v>0.5</v>
      </c>
      <c r="K8" s="31" t="n">
        <f aca="false">نسبت!M23</f>
        <v>0.5</v>
      </c>
      <c r="L8" s="37" t="n">
        <f aca="false">IF($P$8=$P$7*($P$7-1)/2,GEOMEAN(C8:K8),"")</f>
        <v>0.629960524947437</v>
      </c>
      <c r="M8" s="36" t="n">
        <f aca="false">IF($P$8=$P$7*($P$7-1)/2,L8/SUM($L$7:$L$15),"")</f>
        <v>0.0673812753584297</v>
      </c>
      <c r="O8" s="48" t="s">
        <v>230</v>
      </c>
      <c r="P8" s="11" t="n">
        <f aca="false">(COUNT(C7:K15)-$P$7)/2</f>
        <v>36</v>
      </c>
      <c r="Q8" s="8" t="s">
        <v>100</v>
      </c>
      <c r="T8" s="30" t="n">
        <f aca="false">IF(AND(ISNUMBER(E8),ISNUMBER($M8),ISNUMBER($M9)),MAX(E8*$M9/$M8,$M8/(E8*$M9)),"")</f>
        <v>1.16652903957612</v>
      </c>
      <c r="U8" s="30" t="n">
        <f aca="false">IF(AND(ISNUMBER(F8),ISNUMBER($M8),ISNUMBER($M10)),MAX(F8*$M10/$M8,$M8/(F8*$M10)),"")</f>
        <v>1.16652903957612</v>
      </c>
      <c r="V8" s="30" t="n">
        <f aca="false">IF(AND(ISNUMBER(G8),ISNUMBER($M8),ISNUMBER($M11)),MAX(G8*$M11/$M8,$M8/(G8*$M11)),"")</f>
        <v>1</v>
      </c>
      <c r="W8" s="30" t="n">
        <f aca="false">IF(AND(ISNUMBER(H8),ISNUMBER($M8),ISNUMBER($M12)),MAX(H8*$M12/$M8,$M8/(H8*$M12)),"")</f>
        <v>1</v>
      </c>
      <c r="X8" s="30" t="n">
        <f aca="false">IF(AND(ISNUMBER(I8),ISNUMBER($M8),ISNUMBER($M13)),MAX(I8*$M13/$M8,$M8/(I8*$M13)),"")</f>
        <v>1.25992104989487</v>
      </c>
      <c r="Y8" s="30" t="n">
        <f aca="false">IF(AND(ISNUMBER(J8),ISNUMBER($M8),ISNUMBER($M14)),MAX(J8*$M14/$M8,$M8/(J8*$M14)),"")</f>
        <v>1</v>
      </c>
      <c r="Z8" s="30" t="n">
        <f aca="false">IF(AND(ISNUMBER(K8),ISNUMBER($M8),ISNUMBER($M15)),MAX(K8*$M15/$M8,$M8/(K8*$M15)),"")</f>
        <v>1.16652903957612</v>
      </c>
      <c r="AA8" s="49" t="n">
        <f aca="false">IF(COUNT(R8:Z8)=0,"",MAX(R8:Z8))</f>
        <v>1.25992104989487</v>
      </c>
    </row>
    <row r="9" customFormat="false" ht="27" hidden="false" customHeight="true" outlineLevel="0" collapsed="false">
      <c r="A9" s="19" t="s">
        <v>102</v>
      </c>
      <c r="B9" s="9" t="s">
        <v>103</v>
      </c>
      <c r="C9" s="31" t="n">
        <f aca="false">IF(ISNUMBER(E7),1/E7,"")</f>
        <v>1</v>
      </c>
      <c r="D9" s="31" t="n">
        <f aca="false">IF(ISNUMBER(E8),1/E8,"")</f>
        <v>1</v>
      </c>
      <c r="E9" s="31" t="n">
        <v>1</v>
      </c>
      <c r="F9" s="31" t="n">
        <f aca="false">نسبت!M24</f>
        <v>1</v>
      </c>
      <c r="G9" s="31" t="n">
        <f aca="false">نسبت!M25</f>
        <v>0.5</v>
      </c>
      <c r="H9" s="31" t="n">
        <f aca="false">نسبت!M26</f>
        <v>0.5</v>
      </c>
      <c r="I9" s="31" t="n">
        <f aca="false">نسبت!M27</f>
        <v>1</v>
      </c>
      <c r="J9" s="31" t="n">
        <f aca="false">نسبت!M28</f>
        <v>0.5</v>
      </c>
      <c r="K9" s="31" t="n">
        <f aca="false">نسبت!M29</f>
        <v>0.5</v>
      </c>
      <c r="L9" s="37" t="n">
        <f aca="false">IF($P$8=$P$7*($P$7-1)/2,GEOMEAN(C9:K9),"")</f>
        <v>0.734867246137799</v>
      </c>
      <c r="M9" s="36" t="n">
        <f aca="false">IF($P$8=$P$7*($P$7-1)/2,L9/SUM($L$7:$L$15),"")</f>
        <v>0.0786022144292829</v>
      </c>
      <c r="O9" s="48" t="s">
        <v>231</v>
      </c>
      <c r="P9" s="37" t="n">
        <f aca="false">IF($P$8=$P$7*($P$7-1)/2,SUMPRODUCT(C16:K16,C17:K17),"")</f>
        <v>9.14062392459949</v>
      </c>
      <c r="Q9" s="8" t="s">
        <v>102</v>
      </c>
      <c r="U9" s="30" t="n">
        <f aca="false">IF(AND(ISNUMBER(F9),ISNUMBER($M9),ISNUMBER($M10)),MAX(F9*$M10/$M9,$M9/(F9*$M10)),"")</f>
        <v>1</v>
      </c>
      <c r="V9" s="30" t="n">
        <f aca="false">IF(AND(ISNUMBER(G9),ISNUMBER($M9),ISNUMBER($M11)),MAX(G9*$M11/$M9,$M9/(G9*$M11)),"")</f>
        <v>1.16652903957612</v>
      </c>
      <c r="W9" s="30" t="n">
        <f aca="false">IF(AND(ISNUMBER(H9),ISNUMBER($M9),ISNUMBER($M12)),MAX(H9*$M12/$M9,$M9/(H9*$M12)),"")</f>
        <v>1.16652903957612</v>
      </c>
      <c r="X9" s="30" t="n">
        <f aca="false">IF(AND(ISNUMBER(I9),ISNUMBER($M9),ISNUMBER($M13)),MAX(I9*$M13/$M9,$M9/(I9*$M13)),"")</f>
        <v>1.36079000017438</v>
      </c>
      <c r="Y9" s="30" t="n">
        <f aca="false">IF(AND(ISNUMBER(J9),ISNUMBER($M9),ISNUMBER($M14)),MAX(J9*$M14/$M9,$M9/(J9*$M14)),"")</f>
        <v>1.16652903957612</v>
      </c>
      <c r="Z9" s="30" t="n">
        <f aca="false">IF(AND(ISNUMBER(K9),ISNUMBER($M9),ISNUMBER($M15)),MAX(K9*$M15/$M9,$M9/(K9*$M15)),"")</f>
        <v>1</v>
      </c>
      <c r="AA9" s="49" t="n">
        <f aca="false">IF(COUNT(R9:Z9)=0,"",MAX(R9:Z9))</f>
        <v>1.36079000017438</v>
      </c>
    </row>
    <row r="10" customFormat="false" ht="27" hidden="false" customHeight="true" outlineLevel="0" collapsed="false">
      <c r="A10" s="19" t="s">
        <v>104</v>
      </c>
      <c r="B10" s="9" t="s">
        <v>105</v>
      </c>
      <c r="C10" s="31" t="n">
        <f aca="false">IF(ISNUMBER(F7),1/F7,"")</f>
        <v>1</v>
      </c>
      <c r="D10" s="31" t="n">
        <f aca="false">IF(ISNUMBER(F8),1/F8,"")</f>
        <v>1</v>
      </c>
      <c r="E10" s="31" t="n">
        <f aca="false">IF(ISNUMBER(F9),1/F9,"")</f>
        <v>1</v>
      </c>
      <c r="F10" s="31" t="n">
        <v>1</v>
      </c>
      <c r="G10" s="31" t="n">
        <f aca="false">نسبت!M30</f>
        <v>0.5</v>
      </c>
      <c r="H10" s="31" t="n">
        <f aca="false">نسبت!M31</f>
        <v>0.5</v>
      </c>
      <c r="I10" s="31" t="n">
        <f aca="false">نسبت!M32</f>
        <v>1</v>
      </c>
      <c r="J10" s="31" t="n">
        <f aca="false">نسبت!M33</f>
        <v>0.5</v>
      </c>
      <c r="K10" s="31" t="n">
        <f aca="false">نسبت!M34</f>
        <v>0.5</v>
      </c>
      <c r="L10" s="37" t="n">
        <f aca="false">IF($P$8=$P$7*($P$7-1)/2,GEOMEAN(C10:K10),"")</f>
        <v>0.734867246137799</v>
      </c>
      <c r="M10" s="36" t="n">
        <f aca="false">IF($P$8=$P$7*($P$7-1)/2,L10/SUM($L$7:$L$15),"")</f>
        <v>0.0786022144292829</v>
      </c>
      <c r="O10" s="48" t="s">
        <v>48</v>
      </c>
      <c r="P10" s="37" t="n">
        <f aca="false">IF(ISNUMBER(P9),(P9-$P$7)/($P$7-1),"")</f>
        <v>0.0175779905749363</v>
      </c>
      <c r="Q10" s="8" t="s">
        <v>104</v>
      </c>
      <c r="V10" s="30" t="n">
        <f aca="false">IF(AND(ISNUMBER(G10),ISNUMBER($M10),ISNUMBER($M11)),MAX(G10*$M11/$M10,$M10/(G10*$M11)),"")</f>
        <v>1.16652903957612</v>
      </c>
      <c r="W10" s="30" t="n">
        <f aca="false">IF(AND(ISNUMBER(H10),ISNUMBER($M10),ISNUMBER($M12)),MAX(H10*$M12/$M10,$M10/(H10*$M12)),"")</f>
        <v>1.16652903957612</v>
      </c>
      <c r="X10" s="30" t="n">
        <f aca="false">IF(AND(ISNUMBER(I10),ISNUMBER($M10),ISNUMBER($M13)),MAX(I10*$M13/$M10,$M10/(I10*$M13)),"")</f>
        <v>1.36079000017438</v>
      </c>
      <c r="Y10" s="30" t="n">
        <f aca="false">IF(AND(ISNUMBER(J10),ISNUMBER($M10),ISNUMBER($M14)),MAX(J10*$M14/$M10,$M10/(J10*$M14)),"")</f>
        <v>1.16652903957612</v>
      </c>
      <c r="Z10" s="30" t="n">
        <f aca="false">IF(AND(ISNUMBER(K10),ISNUMBER($M10),ISNUMBER($M15)),MAX(K10*$M15/$M10,$M10/(K10*$M15)),"")</f>
        <v>1</v>
      </c>
      <c r="AA10" s="49" t="n">
        <f aca="false">IF(COUNT(R10:Z10)=0,"",MAX(R10:Z10))</f>
        <v>1.36079000017438</v>
      </c>
    </row>
    <row r="11" customFormat="false" ht="27" hidden="false" customHeight="true" outlineLevel="0" collapsed="false">
      <c r="A11" s="19" t="s">
        <v>106</v>
      </c>
      <c r="B11" s="9" t="s">
        <v>107</v>
      </c>
      <c r="C11" s="31" t="n">
        <f aca="false">IF(ISNUMBER(G7),1/G7,"")</f>
        <v>1</v>
      </c>
      <c r="D11" s="31" t="n">
        <f aca="false">IF(ISNUMBER(G8),1/G8,"")</f>
        <v>2</v>
      </c>
      <c r="E11" s="31" t="n">
        <f aca="false">IF(ISNUMBER(G9),1/G9,"")</f>
        <v>2</v>
      </c>
      <c r="F11" s="31" t="n">
        <f aca="false">IF(ISNUMBER(G10),1/G10,"")</f>
        <v>2</v>
      </c>
      <c r="G11" s="31" t="n">
        <v>1</v>
      </c>
      <c r="H11" s="31" t="n">
        <f aca="false">نسبت!M35</f>
        <v>1</v>
      </c>
      <c r="I11" s="31" t="n">
        <f aca="false">نسبت!M36</f>
        <v>1</v>
      </c>
      <c r="J11" s="31" t="n">
        <f aca="false">نسبت!M37</f>
        <v>1</v>
      </c>
      <c r="K11" s="31" t="n">
        <f aca="false">نسبت!M38</f>
        <v>1</v>
      </c>
      <c r="L11" s="37" t="n">
        <f aca="false">IF($P$8=$P$7*($P$7-1)/2,GEOMEAN(C11:K11),"")</f>
        <v>1.25992104989487</v>
      </c>
      <c r="M11" s="36" t="n">
        <f aca="false">IF($P$8=$P$7*($P$7-1)/2,L11/SUM($L$7:$L$15),"")</f>
        <v>0.134762550716859</v>
      </c>
      <c r="O11" s="48" t="s">
        <v>232</v>
      </c>
      <c r="P11" s="30" t="n">
        <f aca="false">INDEX(راهنما!$C$29:$C$38,MATCH($P$7,راهنما!$B$29:$B$38,0))</f>
        <v>1.45</v>
      </c>
      <c r="Q11" s="8" t="s">
        <v>106</v>
      </c>
      <c r="W11" s="30" t="n">
        <f aca="false">IF(AND(ISNUMBER(H11),ISNUMBER($M11),ISNUMBER($M12)),MAX(H11*$M12/$M11,$M11/(H11*$M12)),"")</f>
        <v>1</v>
      </c>
      <c r="X11" s="30" t="n">
        <f aca="false">IF(AND(ISNUMBER(I11),ISNUMBER($M11),ISNUMBER($M13)),MAX(I11*$M13/$M11,$M11/(I11*$M13)),"")</f>
        <v>1.25992104989487</v>
      </c>
      <c r="Y11" s="30" t="n">
        <f aca="false">IF(AND(ISNUMBER(J11),ISNUMBER($M11),ISNUMBER($M14)),MAX(J11*$M14/$M11,$M11/(J11*$M14)),"")</f>
        <v>1</v>
      </c>
      <c r="Z11" s="30" t="n">
        <f aca="false">IF(AND(ISNUMBER(K11),ISNUMBER($M11),ISNUMBER($M15)),MAX(K11*$M15/$M11,$M11/(K11*$M15)),"")</f>
        <v>1.16652903957612</v>
      </c>
      <c r="AA11" s="49" t="n">
        <f aca="false">IF(COUNT(R11:Z11)=0,"",MAX(R11:Z11))</f>
        <v>1.25992104989487</v>
      </c>
    </row>
    <row r="12" customFormat="false" ht="27" hidden="false" customHeight="true" outlineLevel="0" collapsed="false">
      <c r="A12" s="19" t="s">
        <v>108</v>
      </c>
      <c r="B12" s="9" t="s">
        <v>109</v>
      </c>
      <c r="C12" s="31" t="n">
        <f aca="false">IF(ISNUMBER(H7),1/H7,"")</f>
        <v>1</v>
      </c>
      <c r="D12" s="31" t="n">
        <f aca="false">IF(ISNUMBER(H8),1/H8,"")</f>
        <v>2</v>
      </c>
      <c r="E12" s="31" t="n">
        <f aca="false">IF(ISNUMBER(H9),1/H9,"")</f>
        <v>2</v>
      </c>
      <c r="F12" s="31" t="n">
        <f aca="false">IF(ISNUMBER(H10),1/H10,"")</f>
        <v>2</v>
      </c>
      <c r="G12" s="31" t="n">
        <f aca="false">IF(ISNUMBER(H11),1/H11,"")</f>
        <v>1</v>
      </c>
      <c r="H12" s="31" t="n">
        <v>1</v>
      </c>
      <c r="I12" s="31" t="n">
        <f aca="false">نسبت!M39</f>
        <v>1</v>
      </c>
      <c r="J12" s="31" t="n">
        <f aca="false">نسبت!M40</f>
        <v>1</v>
      </c>
      <c r="K12" s="31" t="n">
        <f aca="false">نسبت!M41</f>
        <v>1</v>
      </c>
      <c r="L12" s="37" t="n">
        <f aca="false">IF($P$8=$P$7*($P$7-1)/2,GEOMEAN(C12:K12),"")</f>
        <v>1.25992104989487</v>
      </c>
      <c r="M12" s="36" t="n">
        <f aca="false">IF($P$8=$P$7*($P$7-1)/2,L12/SUM($L$7:$L$15),"")</f>
        <v>0.134762550716859</v>
      </c>
      <c r="O12" s="48" t="s">
        <v>50</v>
      </c>
      <c r="P12" s="41" t="n">
        <f aca="false">IF(ISNUMBER(P10),IF(P11=0,0,MAX(0,P10)/P11),"")</f>
        <v>0.0121227521206457</v>
      </c>
      <c r="Q12" s="8" t="s">
        <v>108</v>
      </c>
      <c r="X12" s="30" t="n">
        <f aca="false">IF(AND(ISNUMBER(I12),ISNUMBER($M12),ISNUMBER($M13)),MAX(I12*$M13/$M12,$M12/(I12*$M13)),"")</f>
        <v>1.25992104989487</v>
      </c>
      <c r="Y12" s="30" t="n">
        <f aca="false">IF(AND(ISNUMBER(J12),ISNUMBER($M12),ISNUMBER($M14)),MAX(J12*$M14/$M12,$M12/(J12*$M14)),"")</f>
        <v>1</v>
      </c>
      <c r="Z12" s="30" t="n">
        <f aca="false">IF(AND(ISNUMBER(K12),ISNUMBER($M12),ISNUMBER($M15)),MAX(K12*$M15/$M12,$M12/(K12*$M15)),"")</f>
        <v>1.16652903957612</v>
      </c>
      <c r="AA12" s="49" t="n">
        <f aca="false">IF(COUNT(R12:Z12)=0,"",MAX(R12:Z12))</f>
        <v>1.25992104989487</v>
      </c>
    </row>
    <row r="13" customFormat="false" ht="27" hidden="false" customHeight="true" outlineLevel="0" collapsed="false">
      <c r="A13" s="19" t="s">
        <v>110</v>
      </c>
      <c r="B13" s="9" t="s">
        <v>111</v>
      </c>
      <c r="C13" s="31" t="n">
        <f aca="false">IF(ISNUMBER(I7),1/I7,"")</f>
        <v>1</v>
      </c>
      <c r="D13" s="31" t="n">
        <f aca="false">IF(ISNUMBER(I8),1/I8,"")</f>
        <v>2</v>
      </c>
      <c r="E13" s="31" t="n">
        <f aca="false">IF(ISNUMBER(I9),1/I9,"")</f>
        <v>1</v>
      </c>
      <c r="F13" s="31" t="n">
        <f aca="false">IF(ISNUMBER(I10),1/I10,"")</f>
        <v>1</v>
      </c>
      <c r="G13" s="31" t="n">
        <f aca="false">IF(ISNUMBER(I11),1/I11,"")</f>
        <v>1</v>
      </c>
      <c r="H13" s="31" t="n">
        <f aca="false">IF(ISNUMBER(I12),1/I12,"")</f>
        <v>1</v>
      </c>
      <c r="I13" s="31" t="n">
        <v>1</v>
      </c>
      <c r="J13" s="31" t="n">
        <f aca="false">نسبت!M42</f>
        <v>1</v>
      </c>
      <c r="K13" s="31" t="n">
        <f aca="false">نسبت!M43</f>
        <v>0.5</v>
      </c>
      <c r="L13" s="37" t="n">
        <f aca="false">IF($P$8=$P$7*($P$7-1)/2,GEOMEAN(C13:K13),"")</f>
        <v>1</v>
      </c>
      <c r="M13" s="36" t="n">
        <f aca="false">IF($P$8=$P$7*($P$7-1)/2,L13/SUM($L$7:$L$15),"")</f>
        <v>0.10696110738693</v>
      </c>
      <c r="O13" s="48" t="s">
        <v>83</v>
      </c>
      <c r="P13" s="10" t="str">
        <f aca="false">IF(NOT($P$8=$P$7*($P$7-1)/2),"ناقص",IF(P12&lt;=$P$3,"سازگار","ناسازگار"))</f>
        <v>سازگار</v>
      </c>
      <c r="Q13" s="8" t="s">
        <v>110</v>
      </c>
      <c r="Y13" s="30" t="n">
        <f aca="false">IF(AND(ISNUMBER(J13),ISNUMBER($M13),ISNUMBER($M14)),MAX(J13*$M14/$M13,$M13/(J13*$M14)),"")</f>
        <v>1.25992104989487</v>
      </c>
      <c r="Z13" s="30" t="n">
        <f aca="false">IF(AND(ISNUMBER(K13),ISNUMBER($M13),ISNUMBER($M15)),MAX(K13*$M15/$M13,$M13/(K13*$M15)),"")</f>
        <v>1.36079000017438</v>
      </c>
      <c r="AA13" s="49" t="n">
        <f aca="false">IF(COUNT(R13:Z13)=0,"",MAX(R13:Z13))</f>
        <v>1.36079000017438</v>
      </c>
    </row>
    <row r="14" customFormat="false" ht="27" hidden="false" customHeight="true" outlineLevel="0" collapsed="false">
      <c r="A14" s="19" t="s">
        <v>112</v>
      </c>
      <c r="B14" s="9" t="s">
        <v>113</v>
      </c>
      <c r="C14" s="31" t="n">
        <f aca="false">IF(ISNUMBER(J7),1/J7,"")</f>
        <v>1</v>
      </c>
      <c r="D14" s="31" t="n">
        <f aca="false">IF(ISNUMBER(J8),1/J8,"")</f>
        <v>2</v>
      </c>
      <c r="E14" s="31" t="n">
        <f aca="false">IF(ISNUMBER(J9),1/J9,"")</f>
        <v>2</v>
      </c>
      <c r="F14" s="31" t="n">
        <f aca="false">IF(ISNUMBER(J10),1/J10,"")</f>
        <v>2</v>
      </c>
      <c r="G14" s="31" t="n">
        <f aca="false">IF(ISNUMBER(J11),1/J11,"")</f>
        <v>1</v>
      </c>
      <c r="H14" s="31" t="n">
        <f aca="false">IF(ISNUMBER(J12),1/J12,"")</f>
        <v>1</v>
      </c>
      <c r="I14" s="31" t="n">
        <f aca="false">IF(ISNUMBER(J13),1/J13,"")</f>
        <v>1</v>
      </c>
      <c r="J14" s="31" t="n">
        <v>1</v>
      </c>
      <c r="K14" s="31" t="n">
        <f aca="false">نسبت!M44</f>
        <v>1</v>
      </c>
      <c r="L14" s="37" t="n">
        <f aca="false">IF($P$8=$P$7*($P$7-1)/2,GEOMEAN(C14:K14),"")</f>
        <v>1.25992104989487</v>
      </c>
      <c r="M14" s="36" t="n">
        <f aca="false">IF($P$8=$P$7*($P$7-1)/2,L14/SUM($L$7:$L$15),"")</f>
        <v>0.134762550716859</v>
      </c>
      <c r="O14" s="48" t="s">
        <v>233</v>
      </c>
      <c r="P14" s="30" t="n">
        <f aca="false">IF(COUNT(AA7:AA15)=0,"",MAX(AA7:AA15))</f>
        <v>1.36079000017438</v>
      </c>
      <c r="Q14" s="8" t="s">
        <v>112</v>
      </c>
      <c r="Z14" s="30" t="n">
        <f aca="false">IF(AND(ISNUMBER(K14),ISNUMBER($M14),ISNUMBER($M15)),MAX(K14*$M15/$M14,$M14/(K14*$M15)),"")</f>
        <v>1.16652903957612</v>
      </c>
      <c r="AA14" s="49" t="n">
        <f aca="false">IF(COUNT(R14:Z14)=0,"",MAX(R14:Z14))</f>
        <v>1.16652903957612</v>
      </c>
    </row>
    <row r="15" customFormat="false" ht="27" hidden="false" customHeight="true" outlineLevel="0" collapsed="false">
      <c r="A15" s="19" t="s">
        <v>114</v>
      </c>
      <c r="B15" s="9" t="s">
        <v>115</v>
      </c>
      <c r="C15" s="31" t="n">
        <f aca="false">IF(ISNUMBER(K7),1/K7,"")</f>
        <v>2</v>
      </c>
      <c r="D15" s="31" t="n">
        <f aca="false">IF(ISNUMBER(K8),1/K8,"")</f>
        <v>2</v>
      </c>
      <c r="E15" s="31" t="n">
        <f aca="false">IF(ISNUMBER(K9),1/K9,"")</f>
        <v>2</v>
      </c>
      <c r="F15" s="31" t="n">
        <f aca="false">IF(ISNUMBER(K10),1/K10,"")</f>
        <v>2</v>
      </c>
      <c r="G15" s="31" t="n">
        <f aca="false">IF(ISNUMBER(K11),1/K11,"")</f>
        <v>1</v>
      </c>
      <c r="H15" s="31" t="n">
        <f aca="false">IF(ISNUMBER(K12),1/K12,"")</f>
        <v>1</v>
      </c>
      <c r="I15" s="31" t="n">
        <f aca="false">IF(ISNUMBER(K13),1/K13,"")</f>
        <v>2</v>
      </c>
      <c r="J15" s="31" t="n">
        <f aca="false">IF(ISNUMBER(K14),1/K14,"")</f>
        <v>1</v>
      </c>
      <c r="K15" s="31" t="n">
        <v>1</v>
      </c>
      <c r="L15" s="37" t="n">
        <f aca="false">IF($P$8=$P$7*($P$7-1)/2,GEOMEAN(C15:K15),"")</f>
        <v>1.4697344922756</v>
      </c>
      <c r="M15" s="36" t="n">
        <f aca="false">IF($P$8=$P$7*($P$7-1)/2,L15/SUM($L$7:$L$15),"")</f>
        <v>0.157204428858566</v>
      </c>
      <c r="O15" s="48" t="s">
        <v>234</v>
      </c>
      <c r="P15" s="19" t="str">
        <f aca="false">IF(ISNUMBER(P14),INDEX(A7:A15,MATCH(P14,AA7:AA15,0))&amp;" و "&amp;INDEX(C6:K6,MATCH(P14,INDEX(R7:Z15,MATCH(P14,AA7:AA15,0),0),0)),"")</f>
        <v>م۱ و م۳</v>
      </c>
      <c r="Q15" s="8" t="s">
        <v>114</v>
      </c>
    </row>
    <row r="16" customFormat="false" ht="15" hidden="false" customHeight="false" outlineLevel="0" collapsed="false">
      <c r="A16" s="50"/>
      <c r="B16" s="51" t="s">
        <v>235</v>
      </c>
      <c r="C16" s="52" t="n">
        <f aca="false">IF($P$8=$P$7*($P$7-1)/2,SUM(C7:C15),"")</f>
        <v>9.5</v>
      </c>
      <c r="D16" s="52" t="n">
        <f aca="false">IF($P$8=$P$7*($P$7-1)/2,SUM(D7:D15),"")</f>
        <v>15</v>
      </c>
      <c r="E16" s="52" t="n">
        <f aca="false">IF($P$8=$P$7*($P$7-1)/2,SUM(E7:E15),"")</f>
        <v>13</v>
      </c>
      <c r="F16" s="52" t="n">
        <f aca="false">IF($P$8=$P$7*($P$7-1)/2,SUM(F7:F15),"")</f>
        <v>13</v>
      </c>
      <c r="G16" s="52" t="n">
        <f aca="false">IF($P$8=$P$7*($P$7-1)/2,SUM(G7:G15),"")</f>
        <v>7.5</v>
      </c>
      <c r="H16" s="52" t="n">
        <f aca="false">IF($P$8=$P$7*($P$7-1)/2,SUM(H7:H15),"")</f>
        <v>7.5</v>
      </c>
      <c r="I16" s="52" t="n">
        <f aca="false">IF($P$8=$P$7*($P$7-1)/2,SUM(I7:I15),"")</f>
        <v>9.5</v>
      </c>
      <c r="J16" s="52" t="n">
        <f aca="false">IF($P$8=$P$7*($P$7-1)/2,SUM(J7:J15),"")</f>
        <v>7.5</v>
      </c>
      <c r="K16" s="52" t="n">
        <f aca="false">IF($P$8=$P$7*($P$7-1)/2,SUM(K7:K15),"")</f>
        <v>6.5</v>
      </c>
      <c r="M16" s="53" t="n">
        <f aca="false">IF($P$8=$P$7*($P$7-1)/2,SUM(M7:M15),"")</f>
        <v>1</v>
      </c>
    </row>
    <row r="17" customFormat="false" ht="15" hidden="false" customHeight="false" outlineLevel="0" collapsed="false">
      <c r="A17" s="50"/>
      <c r="B17" s="51" t="s">
        <v>236</v>
      </c>
      <c r="C17" s="53" t="n">
        <f aca="false">M7</f>
        <v>0.10696110738693</v>
      </c>
      <c r="D17" s="53" t="n">
        <f aca="false">M8</f>
        <v>0.0673812753584297</v>
      </c>
      <c r="E17" s="53" t="n">
        <f aca="false">M9</f>
        <v>0.0786022144292829</v>
      </c>
      <c r="F17" s="53" t="n">
        <f aca="false">M10</f>
        <v>0.0786022144292829</v>
      </c>
      <c r="G17" s="53" t="n">
        <f aca="false">M11</f>
        <v>0.134762550716859</v>
      </c>
      <c r="H17" s="53" t="n">
        <f aca="false">M12</f>
        <v>0.134762550716859</v>
      </c>
      <c r="I17" s="53" t="n">
        <f aca="false">M13</f>
        <v>0.10696110738693</v>
      </c>
      <c r="J17" s="53" t="n">
        <f aca="false">M14</f>
        <v>0.134762550716859</v>
      </c>
      <c r="K17" s="53" t="n">
        <f aca="false">M15</f>
        <v>0.157204428858566</v>
      </c>
    </row>
    <row r="19" customFormat="false" ht="15" hidden="false" customHeight="false" outlineLevel="0" collapsed="false">
      <c r="A19" s="45" t="s">
        <v>237</v>
      </c>
      <c r="B19" s="45"/>
      <c r="C19" s="45"/>
      <c r="D19" s="45"/>
      <c r="E19" s="45"/>
      <c r="F19" s="45"/>
      <c r="G19" s="45"/>
      <c r="H19" s="45"/>
      <c r="I19" s="45"/>
      <c r="J19" s="45"/>
      <c r="K19" s="45"/>
      <c r="L19" s="45"/>
      <c r="M19" s="45"/>
      <c r="Q19" s="46" t="s">
        <v>224</v>
      </c>
      <c r="R19" s="46"/>
      <c r="S19" s="46"/>
      <c r="T19" s="46"/>
      <c r="U19" s="46"/>
      <c r="V19" s="46"/>
      <c r="W19" s="46"/>
      <c r="X19" s="46"/>
      <c r="Y19" s="46"/>
      <c r="Z19" s="46"/>
      <c r="AA19" s="46"/>
    </row>
    <row r="20" customFormat="false" ht="27.75" hidden="false" customHeight="true" outlineLevel="0" collapsed="false">
      <c r="A20" s="8" t="s">
        <v>199</v>
      </c>
      <c r="B20" s="8" t="s">
        <v>225</v>
      </c>
      <c r="C20" s="8" t="s">
        <v>117</v>
      </c>
      <c r="D20" s="8" t="s">
        <v>119</v>
      </c>
      <c r="E20" s="8" t="s">
        <v>121</v>
      </c>
      <c r="L20" s="7" t="s">
        <v>226</v>
      </c>
      <c r="M20" s="8" t="s">
        <v>227</v>
      </c>
      <c r="Q20" s="8" t="s">
        <v>199</v>
      </c>
      <c r="R20" s="8" t="s">
        <v>117</v>
      </c>
      <c r="S20" s="8" t="s">
        <v>119</v>
      </c>
      <c r="T20" s="8" t="s">
        <v>121</v>
      </c>
      <c r="AA20" s="47" t="s">
        <v>228</v>
      </c>
    </row>
    <row r="21" customFormat="false" ht="27" hidden="false" customHeight="true" outlineLevel="0" collapsed="false">
      <c r="A21" s="19" t="s">
        <v>117</v>
      </c>
      <c r="B21" s="9" t="s">
        <v>118</v>
      </c>
      <c r="C21" s="31" t="n">
        <v>1</v>
      </c>
      <c r="D21" s="31" t="n">
        <f aca="false">نسبت!M45</f>
        <v>1</v>
      </c>
      <c r="E21" s="31" t="n">
        <f aca="false">نسبت!M46</f>
        <v>1</v>
      </c>
      <c r="L21" s="37" t="n">
        <f aca="false">IF($P$22=$P$21*($P$21-1)/2,GEOMEAN(C21:E21),"")</f>
        <v>1</v>
      </c>
      <c r="M21" s="36" t="n">
        <f aca="false">IF($P$22=$P$21*($P$21-1)/2,L21/SUM($L$21:$L$23),"")</f>
        <v>0.333333333333333</v>
      </c>
      <c r="O21" s="48" t="s">
        <v>229</v>
      </c>
      <c r="P21" s="11" t="n">
        <f aca="false">ROWS(A21:A23)</f>
        <v>3</v>
      </c>
      <c r="Q21" s="8" t="s">
        <v>117</v>
      </c>
      <c r="S21" s="30" t="n">
        <f aca="false">IF(AND(ISNUMBER(D21),ISNUMBER($M21),ISNUMBER($M22)),MAX(D21*$M22/$M21,$M21/(D21*$M22)),"")</f>
        <v>1</v>
      </c>
      <c r="T21" s="30" t="n">
        <f aca="false">IF(AND(ISNUMBER(E21),ISNUMBER($M21),ISNUMBER($M23)),MAX(E21*$M23/$M21,$M21/(E21*$M23)),"")</f>
        <v>1</v>
      </c>
      <c r="AA21" s="49" t="n">
        <f aca="false">IF(COUNT(R21:T21)=0,"",MAX(R21:T21))</f>
        <v>1</v>
      </c>
    </row>
    <row r="22" customFormat="false" ht="27" hidden="false" customHeight="true" outlineLevel="0" collapsed="false">
      <c r="A22" s="19" t="s">
        <v>119</v>
      </c>
      <c r="B22" s="9" t="s">
        <v>120</v>
      </c>
      <c r="C22" s="31" t="n">
        <f aca="false">IF(ISNUMBER(D21),1/D21,"")</f>
        <v>1</v>
      </c>
      <c r="D22" s="31" t="n">
        <v>1</v>
      </c>
      <c r="E22" s="31" t="n">
        <f aca="false">نسبت!M47</f>
        <v>1</v>
      </c>
      <c r="L22" s="37" t="n">
        <f aca="false">IF($P$22=$P$21*($P$21-1)/2,GEOMEAN(C22:E22),"")</f>
        <v>1</v>
      </c>
      <c r="M22" s="36" t="n">
        <f aca="false">IF($P$22=$P$21*($P$21-1)/2,L22/SUM($L$21:$L$23),"")</f>
        <v>0.333333333333333</v>
      </c>
      <c r="O22" s="48" t="s">
        <v>230</v>
      </c>
      <c r="P22" s="11" t="n">
        <f aca="false">(COUNT(C21:E23)-$P$21)/2</f>
        <v>3</v>
      </c>
      <c r="Q22" s="8" t="s">
        <v>119</v>
      </c>
      <c r="T22" s="30" t="n">
        <f aca="false">IF(AND(ISNUMBER(E22),ISNUMBER($M22),ISNUMBER($M23)),MAX(E22*$M23/$M22,$M22/(E22*$M23)),"")</f>
        <v>1</v>
      </c>
      <c r="AA22" s="49" t="n">
        <f aca="false">IF(COUNT(R22:T22)=0,"",MAX(R22:T22))</f>
        <v>1</v>
      </c>
    </row>
    <row r="23" customFormat="false" ht="27" hidden="false" customHeight="true" outlineLevel="0" collapsed="false">
      <c r="A23" s="19" t="s">
        <v>121</v>
      </c>
      <c r="B23" s="9" t="s">
        <v>122</v>
      </c>
      <c r="C23" s="31" t="n">
        <f aca="false">IF(ISNUMBER(E21),1/E21,"")</f>
        <v>1</v>
      </c>
      <c r="D23" s="31" t="n">
        <f aca="false">IF(ISNUMBER(E22),1/E22,"")</f>
        <v>1</v>
      </c>
      <c r="E23" s="31" t="n">
        <v>1</v>
      </c>
      <c r="L23" s="37" t="n">
        <f aca="false">IF($P$22=$P$21*($P$21-1)/2,GEOMEAN(C23:E23),"")</f>
        <v>1</v>
      </c>
      <c r="M23" s="36" t="n">
        <f aca="false">IF($P$22=$P$21*($P$21-1)/2,L23/SUM($L$21:$L$23),"")</f>
        <v>0.333333333333333</v>
      </c>
      <c r="O23" s="48" t="s">
        <v>231</v>
      </c>
      <c r="P23" s="37" t="n">
        <f aca="false">IF($P$22=$P$21*($P$21-1)/2,SUMPRODUCT(C24:E24,C25:E25),"")</f>
        <v>3</v>
      </c>
      <c r="Q23" s="8" t="s">
        <v>121</v>
      </c>
    </row>
    <row r="24" customFormat="false" ht="15" hidden="false" customHeight="false" outlineLevel="0" collapsed="false">
      <c r="A24" s="50"/>
      <c r="B24" s="51" t="s">
        <v>235</v>
      </c>
      <c r="C24" s="52" t="n">
        <f aca="false">IF($P$22=$P$21*($P$21-1)/2,SUM(C21:C23),"")</f>
        <v>3</v>
      </c>
      <c r="D24" s="52" t="n">
        <f aca="false">IF($P$22=$P$21*($P$21-1)/2,SUM(D21:D23),"")</f>
        <v>3</v>
      </c>
      <c r="E24" s="52" t="n">
        <f aca="false">IF($P$22=$P$21*($P$21-1)/2,SUM(E21:E23),"")</f>
        <v>3</v>
      </c>
      <c r="M24" s="53" t="n">
        <f aca="false">IF($P$22=$P$21*($P$21-1)/2,SUM(M21:M23),"")</f>
        <v>1</v>
      </c>
      <c r="O24" s="48" t="s">
        <v>48</v>
      </c>
      <c r="P24" s="37" t="n">
        <f aca="false">IF(ISNUMBER(P23),(P23-$P$21)/($P$21-1),"")</f>
        <v>0</v>
      </c>
    </row>
    <row r="25" customFormat="false" ht="15" hidden="false" customHeight="false" outlineLevel="0" collapsed="false">
      <c r="A25" s="50"/>
      <c r="B25" s="51" t="s">
        <v>236</v>
      </c>
      <c r="C25" s="53" t="n">
        <f aca="false">M21</f>
        <v>0.333333333333333</v>
      </c>
      <c r="D25" s="53" t="n">
        <f aca="false">M22</f>
        <v>0.333333333333333</v>
      </c>
      <c r="E25" s="53" t="n">
        <f aca="false">M23</f>
        <v>0.333333333333333</v>
      </c>
      <c r="O25" s="48" t="s">
        <v>232</v>
      </c>
      <c r="P25" s="30" t="n">
        <f aca="false">INDEX(راهنما!$C$29:$C$38,MATCH($P$21,راهنما!$B$29:$B$38,0))</f>
        <v>0.58</v>
      </c>
    </row>
    <row r="26" customFormat="false" ht="15" hidden="false" customHeight="false" outlineLevel="0" collapsed="false">
      <c r="O26" s="48" t="s">
        <v>50</v>
      </c>
      <c r="P26" s="41" t="n">
        <f aca="false">IF(ISNUMBER(P24),IF(P25=0,0,MAX(0,P24)/P25),"")</f>
        <v>0</v>
      </c>
    </row>
    <row r="27" customFormat="false" ht="15" hidden="false" customHeight="false" outlineLevel="0" collapsed="false">
      <c r="O27" s="48" t="s">
        <v>83</v>
      </c>
      <c r="P27" s="10" t="str">
        <f aca="false">IF(NOT($P$22=$P$21*($P$21-1)/2),"ناقص",IF(P26&lt;=$P$3,"سازگار","ناسازگار"))</f>
        <v>سازگار</v>
      </c>
    </row>
    <row r="28" customFormat="false" ht="15" hidden="false" customHeight="false" outlineLevel="0" collapsed="false">
      <c r="O28" s="48" t="s">
        <v>233</v>
      </c>
      <c r="P28" s="30" t="n">
        <f aca="false">IF(COUNT(AA21:AA23)=0,"",MAX(AA21:AA23))</f>
        <v>1</v>
      </c>
    </row>
    <row r="29" customFormat="false" ht="15" hidden="false" customHeight="false" outlineLevel="0" collapsed="false">
      <c r="O29" s="48" t="s">
        <v>234</v>
      </c>
      <c r="P29" s="19" t="str">
        <f aca="false">IF(ISNUMBER(P28),INDEX(A21:A23,MATCH(P28,AA21:AA23,0))&amp;" و "&amp;INDEX(C20:E20,MATCH(P28,INDEX(R21:T23,MATCH(P28,AA21:AA23,0),0),0)),"")</f>
        <v>گ۱ و گ۲</v>
      </c>
    </row>
    <row r="31" customFormat="false" ht="15" hidden="false" customHeight="false" outlineLevel="0" collapsed="false">
      <c r="A31" s="45" t="s">
        <v>238</v>
      </c>
      <c r="B31" s="45"/>
      <c r="C31" s="45"/>
      <c r="D31" s="45"/>
      <c r="E31" s="45"/>
      <c r="F31" s="45"/>
      <c r="G31" s="45"/>
      <c r="H31" s="45"/>
      <c r="I31" s="45"/>
      <c r="J31" s="45"/>
      <c r="K31" s="45"/>
      <c r="L31" s="45"/>
      <c r="M31" s="45"/>
      <c r="Q31" s="46" t="s">
        <v>224</v>
      </c>
      <c r="R31" s="46"/>
      <c r="S31" s="46"/>
      <c r="T31" s="46"/>
      <c r="U31" s="46"/>
      <c r="V31" s="46"/>
      <c r="W31" s="46"/>
      <c r="X31" s="46"/>
      <c r="Y31" s="46"/>
      <c r="Z31" s="46"/>
      <c r="AA31" s="46"/>
    </row>
    <row r="32" customFormat="false" ht="27.75" hidden="false" customHeight="true" outlineLevel="0" collapsed="false">
      <c r="A32" s="8" t="s">
        <v>199</v>
      </c>
      <c r="B32" s="8" t="s">
        <v>225</v>
      </c>
      <c r="C32" s="8" t="s">
        <v>123</v>
      </c>
      <c r="D32" s="8" t="s">
        <v>125</v>
      </c>
      <c r="E32" s="8" t="s">
        <v>127</v>
      </c>
      <c r="F32" s="8" t="s">
        <v>129</v>
      </c>
      <c r="L32" s="7" t="s">
        <v>226</v>
      </c>
      <c r="M32" s="8" t="s">
        <v>227</v>
      </c>
      <c r="Q32" s="8" t="s">
        <v>199</v>
      </c>
      <c r="R32" s="8" t="s">
        <v>123</v>
      </c>
      <c r="S32" s="8" t="s">
        <v>125</v>
      </c>
      <c r="T32" s="8" t="s">
        <v>127</v>
      </c>
      <c r="U32" s="8" t="s">
        <v>129</v>
      </c>
      <c r="AA32" s="47" t="s">
        <v>228</v>
      </c>
    </row>
    <row r="33" customFormat="false" ht="27" hidden="false" customHeight="true" outlineLevel="0" collapsed="false">
      <c r="A33" s="19" t="s">
        <v>123</v>
      </c>
      <c r="B33" s="9" t="s">
        <v>124</v>
      </c>
      <c r="C33" s="31" t="n">
        <v>1</v>
      </c>
      <c r="D33" s="31" t="n">
        <f aca="false">نسبت!M48</f>
        <v>1</v>
      </c>
      <c r="E33" s="31" t="n">
        <f aca="false">نسبت!M49</f>
        <v>2</v>
      </c>
      <c r="F33" s="31" t="n">
        <f aca="false">نسبت!M50</f>
        <v>2</v>
      </c>
      <c r="L33" s="37" t="n">
        <f aca="false">IF($P$34=$P$33*($P$33-1)/2,GEOMEAN(C33:F33),"")</f>
        <v>1.4142135623731</v>
      </c>
      <c r="M33" s="36" t="n">
        <f aca="false">IF($P$34=$P$33*($P$33-1)/2,L33/SUM($L$33:$L$36),"")</f>
        <v>0.333333333333333</v>
      </c>
      <c r="O33" s="48" t="s">
        <v>229</v>
      </c>
      <c r="P33" s="11" t="n">
        <f aca="false">ROWS(A33:A36)</f>
        <v>4</v>
      </c>
      <c r="Q33" s="8" t="s">
        <v>123</v>
      </c>
      <c r="S33" s="30" t="n">
        <f aca="false">IF(AND(ISNUMBER(D33),ISNUMBER($M33),ISNUMBER($M34)),MAX(D33*$M34/$M33,$M33/(D33*$M34)),"")</f>
        <v>1</v>
      </c>
      <c r="T33" s="30" t="n">
        <f aca="false">IF(AND(ISNUMBER(E33),ISNUMBER($M33),ISNUMBER($M35)),MAX(E33*$M35/$M33,$M33/(E33*$M35)),"")</f>
        <v>1</v>
      </c>
      <c r="U33" s="30" t="n">
        <f aca="false">IF(AND(ISNUMBER(F33),ISNUMBER($M33),ISNUMBER($M36)),MAX(F33*$M36/$M33,$M33/(F33*$M36)),"")</f>
        <v>1</v>
      </c>
      <c r="AA33" s="49" t="n">
        <f aca="false">IF(COUNT(R33:U33)=0,"",MAX(R33:U33))</f>
        <v>1</v>
      </c>
    </row>
    <row r="34" customFormat="false" ht="27" hidden="false" customHeight="true" outlineLevel="0" collapsed="false">
      <c r="A34" s="19" t="s">
        <v>125</v>
      </c>
      <c r="B34" s="9" t="s">
        <v>126</v>
      </c>
      <c r="C34" s="31" t="n">
        <f aca="false">IF(ISNUMBER(D33),1/D33,"")</f>
        <v>1</v>
      </c>
      <c r="D34" s="31" t="n">
        <v>1</v>
      </c>
      <c r="E34" s="31" t="n">
        <f aca="false">نسبت!M51</f>
        <v>2</v>
      </c>
      <c r="F34" s="31" t="n">
        <f aca="false">نسبت!M52</f>
        <v>2</v>
      </c>
      <c r="L34" s="37" t="n">
        <f aca="false">IF($P$34=$P$33*($P$33-1)/2,GEOMEAN(C34:F34),"")</f>
        <v>1.4142135623731</v>
      </c>
      <c r="M34" s="36" t="n">
        <f aca="false">IF($P$34=$P$33*($P$33-1)/2,L34/SUM($L$33:$L$36),"")</f>
        <v>0.333333333333333</v>
      </c>
      <c r="O34" s="48" t="s">
        <v>230</v>
      </c>
      <c r="P34" s="11" t="n">
        <f aca="false">(COUNT(C33:F36)-$P$33)/2</f>
        <v>6</v>
      </c>
      <c r="Q34" s="8" t="s">
        <v>125</v>
      </c>
      <c r="T34" s="30" t="n">
        <f aca="false">IF(AND(ISNUMBER(E34),ISNUMBER($M34),ISNUMBER($M35)),MAX(E34*$M35/$M34,$M34/(E34*$M35)),"")</f>
        <v>1</v>
      </c>
      <c r="U34" s="30" t="n">
        <f aca="false">IF(AND(ISNUMBER(F34),ISNUMBER($M34),ISNUMBER($M36)),MAX(F34*$M36/$M34,$M34/(F34*$M36)),"")</f>
        <v>1</v>
      </c>
      <c r="AA34" s="49" t="n">
        <f aca="false">IF(COUNT(R34:U34)=0,"",MAX(R34:U34))</f>
        <v>1</v>
      </c>
    </row>
    <row r="35" customFormat="false" ht="27" hidden="false" customHeight="true" outlineLevel="0" collapsed="false">
      <c r="A35" s="19" t="s">
        <v>127</v>
      </c>
      <c r="B35" s="9" t="s">
        <v>128</v>
      </c>
      <c r="C35" s="31" t="n">
        <f aca="false">IF(ISNUMBER(E33),1/E33,"")</f>
        <v>0.5</v>
      </c>
      <c r="D35" s="31" t="n">
        <f aca="false">IF(ISNUMBER(E34),1/E34,"")</f>
        <v>0.5</v>
      </c>
      <c r="E35" s="31" t="n">
        <v>1</v>
      </c>
      <c r="F35" s="31" t="n">
        <f aca="false">نسبت!M53</f>
        <v>1</v>
      </c>
      <c r="L35" s="37" t="n">
        <f aca="false">IF($P$34=$P$33*($P$33-1)/2,GEOMEAN(C35:F35),"")</f>
        <v>0.707106781186548</v>
      </c>
      <c r="M35" s="36" t="n">
        <f aca="false">IF($P$34=$P$33*($P$33-1)/2,L35/SUM($L$33:$L$36),"")</f>
        <v>0.166666666666667</v>
      </c>
      <c r="O35" s="48" t="s">
        <v>231</v>
      </c>
      <c r="P35" s="37" t="n">
        <f aca="false">IF($P$34=$P$33*($P$33-1)/2,SUMPRODUCT(C37:F37,C38:F38),"")</f>
        <v>4</v>
      </c>
      <c r="Q35" s="8" t="s">
        <v>127</v>
      </c>
      <c r="U35" s="30" t="n">
        <f aca="false">IF(AND(ISNUMBER(F35),ISNUMBER($M35),ISNUMBER($M36)),MAX(F35*$M36/$M35,$M35/(F35*$M36)),"")</f>
        <v>1</v>
      </c>
      <c r="AA35" s="49" t="n">
        <f aca="false">IF(COUNT(R35:U35)=0,"",MAX(R35:U35))</f>
        <v>1</v>
      </c>
    </row>
    <row r="36" customFormat="false" ht="27" hidden="false" customHeight="true" outlineLevel="0" collapsed="false">
      <c r="A36" s="19" t="s">
        <v>129</v>
      </c>
      <c r="B36" s="9" t="s">
        <v>130</v>
      </c>
      <c r="C36" s="31" t="n">
        <f aca="false">IF(ISNUMBER(F33),1/F33,"")</f>
        <v>0.5</v>
      </c>
      <c r="D36" s="31" t="n">
        <f aca="false">IF(ISNUMBER(F34),1/F34,"")</f>
        <v>0.5</v>
      </c>
      <c r="E36" s="31" t="n">
        <f aca="false">IF(ISNUMBER(F35),1/F35,"")</f>
        <v>1</v>
      </c>
      <c r="F36" s="31" t="n">
        <v>1</v>
      </c>
      <c r="L36" s="37" t="n">
        <f aca="false">IF($P$34=$P$33*($P$33-1)/2,GEOMEAN(C36:F36),"")</f>
        <v>0.707106781186548</v>
      </c>
      <c r="M36" s="36" t="n">
        <f aca="false">IF($P$34=$P$33*($P$33-1)/2,L36/SUM($L$33:$L$36),"")</f>
        <v>0.166666666666667</v>
      </c>
      <c r="O36" s="48" t="s">
        <v>48</v>
      </c>
      <c r="P36" s="37" t="n">
        <f aca="false">IF(ISNUMBER(P35),(P35-$P$33)/($P$33-1),"")</f>
        <v>0</v>
      </c>
      <c r="Q36" s="8" t="s">
        <v>129</v>
      </c>
    </row>
    <row r="37" customFormat="false" ht="15" hidden="false" customHeight="false" outlineLevel="0" collapsed="false">
      <c r="A37" s="50"/>
      <c r="B37" s="51" t="s">
        <v>235</v>
      </c>
      <c r="C37" s="52" t="n">
        <f aca="false">IF($P$34=$P$33*($P$33-1)/2,SUM(C33:C36),"")</f>
        <v>3</v>
      </c>
      <c r="D37" s="52" t="n">
        <f aca="false">IF($P$34=$P$33*($P$33-1)/2,SUM(D33:D36),"")</f>
        <v>3</v>
      </c>
      <c r="E37" s="52" t="n">
        <f aca="false">IF($P$34=$P$33*($P$33-1)/2,SUM(E33:E36),"")</f>
        <v>6</v>
      </c>
      <c r="F37" s="52" t="n">
        <f aca="false">IF($P$34=$P$33*($P$33-1)/2,SUM(F33:F36),"")</f>
        <v>6</v>
      </c>
      <c r="M37" s="53" t="n">
        <f aca="false">IF($P$34=$P$33*($P$33-1)/2,SUM(M33:M36),"")</f>
        <v>1</v>
      </c>
      <c r="O37" s="48" t="s">
        <v>232</v>
      </c>
      <c r="P37" s="30" t="n">
        <f aca="false">INDEX(راهنما!$C$29:$C$38,MATCH($P$33,راهنما!$B$29:$B$38,0))</f>
        <v>0.9</v>
      </c>
    </row>
    <row r="38" customFormat="false" ht="15" hidden="false" customHeight="false" outlineLevel="0" collapsed="false">
      <c r="A38" s="50"/>
      <c r="B38" s="51" t="s">
        <v>236</v>
      </c>
      <c r="C38" s="53" t="n">
        <f aca="false">M33</f>
        <v>0.333333333333333</v>
      </c>
      <c r="D38" s="53" t="n">
        <f aca="false">M34</f>
        <v>0.333333333333333</v>
      </c>
      <c r="E38" s="53" t="n">
        <f aca="false">M35</f>
        <v>0.166666666666667</v>
      </c>
      <c r="F38" s="53" t="n">
        <f aca="false">M36</f>
        <v>0.166666666666667</v>
      </c>
      <c r="O38" s="48" t="s">
        <v>50</v>
      </c>
      <c r="P38" s="41" t="n">
        <f aca="false">IF(ISNUMBER(P36),IF(P37=0,0,MAX(0,P36)/P37),"")</f>
        <v>0</v>
      </c>
    </row>
    <row r="39" customFormat="false" ht="15" hidden="false" customHeight="false" outlineLevel="0" collapsed="false">
      <c r="O39" s="48" t="s">
        <v>83</v>
      </c>
      <c r="P39" s="10" t="str">
        <f aca="false">IF(NOT($P$34=$P$33*($P$33-1)/2),"ناقص",IF(P38&lt;=$P$3,"سازگار","ناسازگار"))</f>
        <v>سازگار</v>
      </c>
    </row>
    <row r="40" customFormat="false" ht="15" hidden="false" customHeight="false" outlineLevel="0" collapsed="false">
      <c r="O40" s="48" t="s">
        <v>233</v>
      </c>
      <c r="P40" s="30" t="n">
        <f aca="false">IF(COUNT(AA33:AA36)=0,"",MAX(AA33:AA36))</f>
        <v>1</v>
      </c>
    </row>
    <row r="41" customFormat="false" ht="15" hidden="false" customHeight="false" outlineLevel="0" collapsed="false">
      <c r="O41" s="48" t="s">
        <v>234</v>
      </c>
      <c r="P41" s="19" t="str">
        <f aca="false">IF(ISNUMBER(P40),INDEX(A33:A36,MATCH(P40,AA33:AA36,0))&amp;" و "&amp;INDEX(C32:F32,MATCH(P40,INDEX(R33:U36,MATCH(P40,AA33:AA36,0),0),0)),"")</f>
        <v>گ۴ و گ۵</v>
      </c>
    </row>
    <row r="43" customFormat="false" ht="15" hidden="false" customHeight="false" outlineLevel="0" collapsed="false">
      <c r="A43" s="45" t="s">
        <v>239</v>
      </c>
      <c r="B43" s="45"/>
      <c r="C43" s="45"/>
      <c r="D43" s="45"/>
      <c r="E43" s="45"/>
      <c r="F43" s="45"/>
      <c r="G43" s="45"/>
      <c r="H43" s="45"/>
      <c r="I43" s="45"/>
      <c r="J43" s="45"/>
      <c r="K43" s="45"/>
      <c r="L43" s="45"/>
      <c r="M43" s="45"/>
      <c r="Q43" s="46" t="s">
        <v>224</v>
      </c>
      <c r="R43" s="46"/>
      <c r="S43" s="46"/>
      <c r="T43" s="46"/>
      <c r="U43" s="46"/>
      <c r="V43" s="46"/>
      <c r="W43" s="46"/>
      <c r="X43" s="46"/>
      <c r="Y43" s="46"/>
      <c r="Z43" s="46"/>
      <c r="AA43" s="46"/>
    </row>
    <row r="44" customFormat="false" ht="27.75" hidden="false" customHeight="true" outlineLevel="0" collapsed="false">
      <c r="A44" s="8" t="s">
        <v>199</v>
      </c>
      <c r="B44" s="8" t="s">
        <v>225</v>
      </c>
      <c r="C44" s="8" t="s">
        <v>131</v>
      </c>
      <c r="D44" s="8" t="s">
        <v>133</v>
      </c>
      <c r="E44" s="8" t="s">
        <v>135</v>
      </c>
      <c r="L44" s="7" t="s">
        <v>226</v>
      </c>
      <c r="M44" s="8" t="s">
        <v>227</v>
      </c>
      <c r="Q44" s="8" t="s">
        <v>199</v>
      </c>
      <c r="R44" s="8" t="s">
        <v>131</v>
      </c>
      <c r="S44" s="8" t="s">
        <v>133</v>
      </c>
      <c r="T44" s="8" t="s">
        <v>135</v>
      </c>
      <c r="AA44" s="47" t="s">
        <v>228</v>
      </c>
    </row>
    <row r="45" customFormat="false" ht="27" hidden="false" customHeight="true" outlineLevel="0" collapsed="false">
      <c r="A45" s="19" t="s">
        <v>131</v>
      </c>
      <c r="B45" s="9" t="s">
        <v>132</v>
      </c>
      <c r="C45" s="31" t="n">
        <v>1</v>
      </c>
      <c r="D45" s="31" t="n">
        <f aca="false">نسبت!M54</f>
        <v>1</v>
      </c>
      <c r="E45" s="31" t="n">
        <f aca="false">نسبت!M55</f>
        <v>2</v>
      </c>
      <c r="L45" s="37" t="n">
        <f aca="false">IF($P$46=$P$45*($P$45-1)/2,GEOMEAN(C45:E45),"")</f>
        <v>1.25992104989487</v>
      </c>
      <c r="M45" s="36" t="n">
        <f aca="false">IF($P$46=$P$45*($P$45-1)/2,L45/SUM($L$45:$L$47),"")</f>
        <v>0.4</v>
      </c>
      <c r="O45" s="48" t="s">
        <v>229</v>
      </c>
      <c r="P45" s="11" t="n">
        <f aca="false">ROWS(A45:A47)</f>
        <v>3</v>
      </c>
      <c r="Q45" s="8" t="s">
        <v>131</v>
      </c>
      <c r="S45" s="30" t="n">
        <f aca="false">IF(AND(ISNUMBER(D45),ISNUMBER($M45),ISNUMBER($M46)),MAX(D45*$M46/$M45,$M45/(D45*$M46)),"")</f>
        <v>1</v>
      </c>
      <c r="T45" s="30" t="n">
        <f aca="false">IF(AND(ISNUMBER(E45),ISNUMBER($M45),ISNUMBER($M47)),MAX(E45*$M47/$M45,$M45/(E45*$M47)),"")</f>
        <v>1</v>
      </c>
      <c r="AA45" s="49" t="n">
        <f aca="false">IF(COUNT(R45:T45)=0,"",MAX(R45:T45))</f>
        <v>1</v>
      </c>
    </row>
    <row r="46" customFormat="false" ht="27" hidden="false" customHeight="true" outlineLevel="0" collapsed="false">
      <c r="A46" s="19" t="s">
        <v>133</v>
      </c>
      <c r="B46" s="9" t="s">
        <v>134</v>
      </c>
      <c r="C46" s="31" t="n">
        <f aca="false">IF(ISNUMBER(D45),1/D45,"")</f>
        <v>1</v>
      </c>
      <c r="D46" s="31" t="n">
        <v>1</v>
      </c>
      <c r="E46" s="31" t="n">
        <f aca="false">نسبت!M56</f>
        <v>2</v>
      </c>
      <c r="L46" s="37" t="n">
        <f aca="false">IF($P$46=$P$45*($P$45-1)/2,GEOMEAN(C46:E46),"")</f>
        <v>1.25992104989487</v>
      </c>
      <c r="M46" s="36" t="n">
        <f aca="false">IF($P$46=$P$45*($P$45-1)/2,L46/SUM($L$45:$L$47),"")</f>
        <v>0.4</v>
      </c>
      <c r="O46" s="48" t="s">
        <v>230</v>
      </c>
      <c r="P46" s="11" t="n">
        <f aca="false">(COUNT(C45:E47)-$P$45)/2</f>
        <v>3</v>
      </c>
      <c r="Q46" s="8" t="s">
        <v>133</v>
      </c>
      <c r="T46" s="30" t="n">
        <f aca="false">IF(AND(ISNUMBER(E46),ISNUMBER($M46),ISNUMBER($M47)),MAX(E46*$M47/$M46,$M46/(E46*$M47)),"")</f>
        <v>1</v>
      </c>
      <c r="AA46" s="49" t="n">
        <f aca="false">IF(COUNT(R46:T46)=0,"",MAX(R46:T46))</f>
        <v>1</v>
      </c>
    </row>
    <row r="47" customFormat="false" ht="27" hidden="false" customHeight="true" outlineLevel="0" collapsed="false">
      <c r="A47" s="19" t="s">
        <v>135</v>
      </c>
      <c r="B47" s="9" t="s">
        <v>136</v>
      </c>
      <c r="C47" s="31" t="n">
        <f aca="false">IF(ISNUMBER(E45),1/E45,"")</f>
        <v>0.5</v>
      </c>
      <c r="D47" s="31" t="n">
        <f aca="false">IF(ISNUMBER(E46),1/E46,"")</f>
        <v>0.5</v>
      </c>
      <c r="E47" s="31" t="n">
        <v>1</v>
      </c>
      <c r="L47" s="37" t="n">
        <f aca="false">IF($P$46=$P$45*($P$45-1)/2,GEOMEAN(C47:E47),"")</f>
        <v>0.629960524947437</v>
      </c>
      <c r="M47" s="36" t="n">
        <f aca="false">IF($P$46=$P$45*($P$45-1)/2,L47/SUM($L$45:$L$47),"")</f>
        <v>0.2</v>
      </c>
      <c r="O47" s="48" t="s">
        <v>231</v>
      </c>
      <c r="P47" s="37" t="n">
        <f aca="false">IF($P$46=$P$45*($P$45-1)/2,SUMPRODUCT(C48:E48,C49:E49),"")</f>
        <v>3</v>
      </c>
      <c r="Q47" s="8" t="s">
        <v>135</v>
      </c>
    </row>
    <row r="48" customFormat="false" ht="15" hidden="false" customHeight="false" outlineLevel="0" collapsed="false">
      <c r="A48" s="50"/>
      <c r="B48" s="51" t="s">
        <v>235</v>
      </c>
      <c r="C48" s="52" t="n">
        <f aca="false">IF($P$46=$P$45*($P$45-1)/2,SUM(C45:C47),"")</f>
        <v>2.5</v>
      </c>
      <c r="D48" s="52" t="n">
        <f aca="false">IF($P$46=$P$45*($P$45-1)/2,SUM(D45:D47),"")</f>
        <v>2.5</v>
      </c>
      <c r="E48" s="52" t="n">
        <f aca="false">IF($P$46=$P$45*($P$45-1)/2,SUM(E45:E47),"")</f>
        <v>5</v>
      </c>
      <c r="M48" s="53" t="n">
        <f aca="false">IF($P$46=$P$45*($P$45-1)/2,SUM(M45:M47),"")</f>
        <v>1</v>
      </c>
      <c r="O48" s="48" t="s">
        <v>48</v>
      </c>
      <c r="P48" s="37" t="n">
        <f aca="false">IF(ISNUMBER(P47),(P47-$P$45)/($P$45-1),"")</f>
        <v>0</v>
      </c>
    </row>
    <row r="49" customFormat="false" ht="15" hidden="false" customHeight="false" outlineLevel="0" collapsed="false">
      <c r="A49" s="50"/>
      <c r="B49" s="51" t="s">
        <v>236</v>
      </c>
      <c r="C49" s="53" t="n">
        <f aca="false">M45</f>
        <v>0.4</v>
      </c>
      <c r="D49" s="53" t="n">
        <f aca="false">M46</f>
        <v>0.4</v>
      </c>
      <c r="E49" s="53" t="n">
        <f aca="false">M47</f>
        <v>0.2</v>
      </c>
      <c r="O49" s="48" t="s">
        <v>232</v>
      </c>
      <c r="P49" s="30" t="n">
        <f aca="false">INDEX(راهنما!$C$29:$C$38,MATCH($P$45,راهنما!$B$29:$B$38,0))</f>
        <v>0.58</v>
      </c>
    </row>
    <row r="50" customFormat="false" ht="15" hidden="false" customHeight="false" outlineLevel="0" collapsed="false">
      <c r="O50" s="48" t="s">
        <v>50</v>
      </c>
      <c r="P50" s="41" t="n">
        <f aca="false">IF(ISNUMBER(P48),IF(P49=0,0,MAX(0,P48)/P49),"")</f>
        <v>0</v>
      </c>
    </row>
    <row r="51" customFormat="false" ht="15" hidden="false" customHeight="false" outlineLevel="0" collapsed="false">
      <c r="O51" s="48" t="s">
        <v>83</v>
      </c>
      <c r="P51" s="10" t="str">
        <f aca="false">IF(NOT($P$46=$P$45*($P$45-1)/2),"ناقص",IF(P50&lt;=$P$3,"سازگار","ناسازگار"))</f>
        <v>سازگار</v>
      </c>
    </row>
    <row r="52" customFormat="false" ht="15" hidden="false" customHeight="false" outlineLevel="0" collapsed="false">
      <c r="O52" s="48" t="s">
        <v>233</v>
      </c>
      <c r="P52" s="30" t="n">
        <f aca="false">IF(COUNT(AA45:AA47)=0,"",MAX(AA45:AA47))</f>
        <v>1</v>
      </c>
    </row>
    <row r="53" customFormat="false" ht="15" hidden="false" customHeight="false" outlineLevel="0" collapsed="false">
      <c r="O53" s="48" t="s">
        <v>234</v>
      </c>
      <c r="P53" s="19" t="str">
        <f aca="false">IF(ISNUMBER(P52),INDEX(A45:A47,MATCH(P52,AA45:AA47,0))&amp;" و "&amp;INDEX(C44:E44,MATCH(P52,INDEX(R45:T47,MATCH(P52,AA45:AA47,0),0),0)),"")</f>
        <v>گ۸ و گ۹</v>
      </c>
    </row>
    <row r="55" customFormat="false" ht="15" hidden="false" customHeight="false" outlineLevel="0" collapsed="false">
      <c r="A55" s="45" t="s">
        <v>240</v>
      </c>
      <c r="B55" s="45"/>
      <c r="C55" s="45"/>
      <c r="D55" s="45"/>
      <c r="E55" s="45"/>
      <c r="F55" s="45"/>
      <c r="G55" s="45"/>
      <c r="H55" s="45"/>
      <c r="I55" s="45"/>
      <c r="J55" s="45"/>
      <c r="K55" s="45"/>
      <c r="L55" s="45"/>
      <c r="M55" s="45"/>
      <c r="Q55" s="46" t="s">
        <v>224</v>
      </c>
      <c r="R55" s="46"/>
      <c r="S55" s="46"/>
      <c r="T55" s="46"/>
      <c r="U55" s="46"/>
      <c r="V55" s="46"/>
      <c r="W55" s="46"/>
      <c r="X55" s="46"/>
      <c r="Y55" s="46"/>
      <c r="Z55" s="46"/>
      <c r="AA55" s="46"/>
    </row>
    <row r="56" customFormat="false" ht="27.75" hidden="false" customHeight="true" outlineLevel="0" collapsed="false">
      <c r="A56" s="8" t="s">
        <v>199</v>
      </c>
      <c r="B56" s="8" t="s">
        <v>225</v>
      </c>
      <c r="C56" s="8" t="s">
        <v>137</v>
      </c>
      <c r="D56" s="8" t="s">
        <v>139</v>
      </c>
      <c r="E56" s="8" t="s">
        <v>141</v>
      </c>
      <c r="F56" s="8" t="s">
        <v>143</v>
      </c>
      <c r="L56" s="7" t="s">
        <v>226</v>
      </c>
      <c r="M56" s="8" t="s">
        <v>227</v>
      </c>
      <c r="Q56" s="8" t="s">
        <v>199</v>
      </c>
      <c r="R56" s="8" t="s">
        <v>137</v>
      </c>
      <c r="S56" s="8" t="s">
        <v>139</v>
      </c>
      <c r="T56" s="8" t="s">
        <v>141</v>
      </c>
      <c r="U56" s="8" t="s">
        <v>143</v>
      </c>
      <c r="AA56" s="47" t="s">
        <v>228</v>
      </c>
    </row>
    <row r="57" customFormat="false" ht="27" hidden="false" customHeight="true" outlineLevel="0" collapsed="false">
      <c r="A57" s="19" t="s">
        <v>137</v>
      </c>
      <c r="B57" s="9" t="s">
        <v>138</v>
      </c>
      <c r="C57" s="31" t="n">
        <v>1</v>
      </c>
      <c r="D57" s="31" t="n">
        <f aca="false">نسبت!M57</f>
        <v>1</v>
      </c>
      <c r="E57" s="31" t="n">
        <f aca="false">نسبت!M58</f>
        <v>2</v>
      </c>
      <c r="F57" s="31" t="n">
        <f aca="false">نسبت!M59</f>
        <v>1</v>
      </c>
      <c r="L57" s="37" t="n">
        <f aca="false">IF($P$58=$P$57*($P$57-1)/2,GEOMEAN(C57:F57),"")</f>
        <v>1.18920711500272</v>
      </c>
      <c r="M57" s="36" t="n">
        <f aca="false">IF($P$58=$P$57*($P$57-1)/2,L57/SUM($L$57:$L$60),"")</f>
        <v>0.285714285714286</v>
      </c>
      <c r="O57" s="48" t="s">
        <v>229</v>
      </c>
      <c r="P57" s="11" t="n">
        <f aca="false">ROWS(A57:A60)</f>
        <v>4</v>
      </c>
      <c r="Q57" s="8" t="s">
        <v>137</v>
      </c>
      <c r="S57" s="30" t="n">
        <f aca="false">IF(AND(ISNUMBER(D57),ISNUMBER($M57),ISNUMBER($M58)),MAX(D57*$M58/$M57,$M57/(D57*$M58)),"")</f>
        <v>1</v>
      </c>
      <c r="T57" s="30" t="n">
        <f aca="false">IF(AND(ISNUMBER(E57),ISNUMBER($M57),ISNUMBER($M59)),MAX(E57*$M59/$M57,$M57/(E57*$M59)),"")</f>
        <v>1</v>
      </c>
      <c r="U57" s="30" t="n">
        <f aca="false">IF(AND(ISNUMBER(F57),ISNUMBER($M57),ISNUMBER($M60)),MAX(F57*$M60/$M57,$M57/(F57*$M60)),"")</f>
        <v>1</v>
      </c>
      <c r="AA57" s="49" t="n">
        <f aca="false">IF(COUNT(R57:U57)=0,"",MAX(R57:U57))</f>
        <v>1</v>
      </c>
    </row>
    <row r="58" customFormat="false" ht="27" hidden="false" customHeight="true" outlineLevel="0" collapsed="false">
      <c r="A58" s="19" t="s">
        <v>139</v>
      </c>
      <c r="B58" s="9" t="s">
        <v>140</v>
      </c>
      <c r="C58" s="31" t="n">
        <f aca="false">IF(ISNUMBER(D57),1/D57,"")</f>
        <v>1</v>
      </c>
      <c r="D58" s="31" t="n">
        <v>1</v>
      </c>
      <c r="E58" s="31" t="n">
        <f aca="false">نسبت!M60</f>
        <v>2</v>
      </c>
      <c r="F58" s="31" t="n">
        <f aca="false">نسبت!M61</f>
        <v>1</v>
      </c>
      <c r="L58" s="37" t="n">
        <f aca="false">IF($P$58=$P$57*($P$57-1)/2,GEOMEAN(C58:F58),"")</f>
        <v>1.18920711500272</v>
      </c>
      <c r="M58" s="36" t="n">
        <f aca="false">IF($P$58=$P$57*($P$57-1)/2,L58/SUM($L$57:$L$60),"")</f>
        <v>0.285714285714286</v>
      </c>
      <c r="O58" s="48" t="s">
        <v>230</v>
      </c>
      <c r="P58" s="11" t="n">
        <f aca="false">(COUNT(C57:F60)-$P$57)/2</f>
        <v>6</v>
      </c>
      <c r="Q58" s="8" t="s">
        <v>139</v>
      </c>
      <c r="T58" s="30" t="n">
        <f aca="false">IF(AND(ISNUMBER(E58),ISNUMBER($M58),ISNUMBER($M59)),MAX(E58*$M59/$M58,$M58/(E58*$M59)),"")</f>
        <v>1</v>
      </c>
      <c r="U58" s="30" t="n">
        <f aca="false">IF(AND(ISNUMBER(F58),ISNUMBER($M58),ISNUMBER($M60)),MAX(F58*$M60/$M58,$M58/(F58*$M60)),"")</f>
        <v>1</v>
      </c>
      <c r="AA58" s="49" t="n">
        <f aca="false">IF(COUNT(R58:U58)=0,"",MAX(R58:U58))</f>
        <v>1</v>
      </c>
    </row>
    <row r="59" customFormat="false" ht="27" hidden="false" customHeight="true" outlineLevel="0" collapsed="false">
      <c r="A59" s="19" t="s">
        <v>141</v>
      </c>
      <c r="B59" s="9" t="s">
        <v>142</v>
      </c>
      <c r="C59" s="31" t="n">
        <f aca="false">IF(ISNUMBER(E57),1/E57,"")</f>
        <v>0.5</v>
      </c>
      <c r="D59" s="31" t="n">
        <f aca="false">IF(ISNUMBER(E58),1/E58,"")</f>
        <v>0.5</v>
      </c>
      <c r="E59" s="31" t="n">
        <v>1</v>
      </c>
      <c r="F59" s="31" t="n">
        <f aca="false">نسبت!M62</f>
        <v>0.5</v>
      </c>
      <c r="L59" s="37" t="n">
        <f aca="false">IF($P$58=$P$57*($P$57-1)/2,GEOMEAN(C59:F59),"")</f>
        <v>0.594603557501361</v>
      </c>
      <c r="M59" s="36" t="n">
        <f aca="false">IF($P$58=$P$57*($P$57-1)/2,L59/SUM($L$57:$L$60),"")</f>
        <v>0.142857142857143</v>
      </c>
      <c r="O59" s="48" t="s">
        <v>231</v>
      </c>
      <c r="P59" s="37" t="n">
        <f aca="false">IF($P$58=$P$57*($P$57-1)/2,SUMPRODUCT(C61:F61,C62:F62),"")</f>
        <v>4</v>
      </c>
      <c r="Q59" s="8" t="s">
        <v>141</v>
      </c>
      <c r="U59" s="30" t="n">
        <f aca="false">IF(AND(ISNUMBER(F59),ISNUMBER($M59),ISNUMBER($M60)),MAX(F59*$M60/$M59,$M59/(F59*$M60)),"")</f>
        <v>1</v>
      </c>
      <c r="AA59" s="49" t="n">
        <f aca="false">IF(COUNT(R59:U59)=0,"",MAX(R59:U59))</f>
        <v>1</v>
      </c>
    </row>
    <row r="60" customFormat="false" ht="27" hidden="false" customHeight="true" outlineLevel="0" collapsed="false">
      <c r="A60" s="19" t="s">
        <v>143</v>
      </c>
      <c r="B60" s="9" t="s">
        <v>144</v>
      </c>
      <c r="C60" s="31" t="n">
        <f aca="false">IF(ISNUMBER(F57),1/F57,"")</f>
        <v>1</v>
      </c>
      <c r="D60" s="31" t="n">
        <f aca="false">IF(ISNUMBER(F58),1/F58,"")</f>
        <v>1</v>
      </c>
      <c r="E60" s="31" t="n">
        <f aca="false">IF(ISNUMBER(F59),1/F59,"")</f>
        <v>2</v>
      </c>
      <c r="F60" s="31" t="n">
        <v>1</v>
      </c>
      <c r="L60" s="37" t="n">
        <f aca="false">IF($P$58=$P$57*($P$57-1)/2,GEOMEAN(C60:F60),"")</f>
        <v>1.18920711500272</v>
      </c>
      <c r="M60" s="36" t="n">
        <f aca="false">IF($P$58=$P$57*($P$57-1)/2,L60/SUM($L$57:$L$60),"")</f>
        <v>0.285714285714286</v>
      </c>
      <c r="O60" s="48" t="s">
        <v>48</v>
      </c>
      <c r="P60" s="37" t="n">
        <f aca="false">IF(ISNUMBER(P59),(P59-$P$57)/($P$57-1),"")</f>
        <v>0</v>
      </c>
      <c r="Q60" s="8" t="s">
        <v>143</v>
      </c>
    </row>
    <row r="61" customFormat="false" ht="15" hidden="false" customHeight="false" outlineLevel="0" collapsed="false">
      <c r="A61" s="50"/>
      <c r="B61" s="51" t="s">
        <v>235</v>
      </c>
      <c r="C61" s="52" t="n">
        <f aca="false">IF($P$58=$P$57*($P$57-1)/2,SUM(C57:C60),"")</f>
        <v>3.5</v>
      </c>
      <c r="D61" s="52" t="n">
        <f aca="false">IF($P$58=$P$57*($P$57-1)/2,SUM(D57:D60),"")</f>
        <v>3.5</v>
      </c>
      <c r="E61" s="52" t="n">
        <f aca="false">IF($P$58=$P$57*($P$57-1)/2,SUM(E57:E60),"")</f>
        <v>7</v>
      </c>
      <c r="F61" s="52" t="n">
        <f aca="false">IF($P$58=$P$57*($P$57-1)/2,SUM(F57:F60),"")</f>
        <v>3.5</v>
      </c>
      <c r="M61" s="53" t="n">
        <f aca="false">IF($P$58=$P$57*($P$57-1)/2,SUM(M57:M60),"")</f>
        <v>1</v>
      </c>
      <c r="O61" s="48" t="s">
        <v>232</v>
      </c>
      <c r="P61" s="30" t="n">
        <f aca="false">INDEX(راهنما!$C$29:$C$38,MATCH($P$57,راهنما!$B$29:$B$38,0))</f>
        <v>0.9</v>
      </c>
    </row>
    <row r="62" customFormat="false" ht="15" hidden="false" customHeight="false" outlineLevel="0" collapsed="false">
      <c r="A62" s="50"/>
      <c r="B62" s="51" t="s">
        <v>236</v>
      </c>
      <c r="C62" s="53" t="n">
        <f aca="false">M57</f>
        <v>0.285714285714286</v>
      </c>
      <c r="D62" s="53" t="n">
        <f aca="false">M58</f>
        <v>0.285714285714286</v>
      </c>
      <c r="E62" s="53" t="n">
        <f aca="false">M59</f>
        <v>0.142857142857143</v>
      </c>
      <c r="F62" s="53" t="n">
        <f aca="false">M60</f>
        <v>0.285714285714286</v>
      </c>
      <c r="O62" s="48" t="s">
        <v>50</v>
      </c>
      <c r="P62" s="41" t="n">
        <f aca="false">IF(ISNUMBER(P60),IF(P61=0,0,MAX(0,P60)/P61),"")</f>
        <v>0</v>
      </c>
    </row>
    <row r="63" customFormat="false" ht="15" hidden="false" customHeight="false" outlineLevel="0" collapsed="false">
      <c r="O63" s="48" t="s">
        <v>83</v>
      </c>
      <c r="P63" s="10" t="str">
        <f aca="false">IF(NOT($P$58=$P$57*($P$57-1)/2),"ناقص",IF(P62&lt;=$P$3,"سازگار","ناسازگار"))</f>
        <v>سازگار</v>
      </c>
    </row>
    <row r="64" customFormat="false" ht="15" hidden="false" customHeight="false" outlineLevel="0" collapsed="false">
      <c r="O64" s="48" t="s">
        <v>233</v>
      </c>
      <c r="P64" s="30" t="n">
        <f aca="false">IF(COUNT(AA57:AA60)=0,"",MAX(AA57:AA60))</f>
        <v>1</v>
      </c>
    </row>
    <row r="65" customFormat="false" ht="15" hidden="false" customHeight="false" outlineLevel="0" collapsed="false">
      <c r="O65" s="48" t="s">
        <v>234</v>
      </c>
      <c r="P65" s="19" t="str">
        <f aca="false">IF(ISNUMBER(P64),INDEX(A57:A60,MATCH(P64,AA57:AA60,0))&amp;" و "&amp;INDEX(C56:F56,MATCH(P64,INDEX(R57:U60,MATCH(P64,AA57:AA60,0),0),0)),"")</f>
        <v>گ۱۱ و گ۱۲</v>
      </c>
    </row>
    <row r="67" customFormat="false" ht="15" hidden="false" customHeight="false" outlineLevel="0" collapsed="false">
      <c r="A67" s="45" t="s">
        <v>241</v>
      </c>
      <c r="B67" s="45"/>
      <c r="C67" s="45"/>
      <c r="D67" s="45"/>
      <c r="E67" s="45"/>
      <c r="F67" s="45"/>
      <c r="G67" s="45"/>
      <c r="H67" s="45"/>
      <c r="I67" s="45"/>
      <c r="J67" s="45"/>
      <c r="K67" s="45"/>
      <c r="L67" s="45"/>
      <c r="M67" s="45"/>
      <c r="Q67" s="46" t="s">
        <v>224</v>
      </c>
      <c r="R67" s="46"/>
      <c r="S67" s="46"/>
      <c r="T67" s="46"/>
      <c r="U67" s="46"/>
      <c r="V67" s="46"/>
      <c r="W67" s="46"/>
      <c r="X67" s="46"/>
      <c r="Y67" s="46"/>
      <c r="Z67" s="46"/>
      <c r="AA67" s="46"/>
    </row>
    <row r="68" customFormat="false" ht="27.75" hidden="false" customHeight="true" outlineLevel="0" collapsed="false">
      <c r="A68" s="8" t="s">
        <v>199</v>
      </c>
      <c r="B68" s="8" t="s">
        <v>225</v>
      </c>
      <c r="C68" s="8" t="s">
        <v>145</v>
      </c>
      <c r="D68" s="8" t="s">
        <v>147</v>
      </c>
      <c r="E68" s="8" t="s">
        <v>149</v>
      </c>
      <c r="F68" s="8" t="s">
        <v>151</v>
      </c>
      <c r="L68" s="7" t="s">
        <v>226</v>
      </c>
      <c r="M68" s="8" t="s">
        <v>227</v>
      </c>
      <c r="Q68" s="8" t="s">
        <v>199</v>
      </c>
      <c r="R68" s="8" t="s">
        <v>145</v>
      </c>
      <c r="S68" s="8" t="s">
        <v>147</v>
      </c>
      <c r="T68" s="8" t="s">
        <v>149</v>
      </c>
      <c r="U68" s="8" t="s">
        <v>151</v>
      </c>
      <c r="AA68" s="47" t="s">
        <v>228</v>
      </c>
    </row>
    <row r="69" customFormat="false" ht="27" hidden="false" customHeight="true" outlineLevel="0" collapsed="false">
      <c r="A69" s="19" t="s">
        <v>145</v>
      </c>
      <c r="B69" s="9" t="s">
        <v>146</v>
      </c>
      <c r="C69" s="31" t="n">
        <v>1</v>
      </c>
      <c r="D69" s="31" t="n">
        <f aca="false">نسبت!M63</f>
        <v>2</v>
      </c>
      <c r="E69" s="31" t="n">
        <f aca="false">نسبت!M64</f>
        <v>2</v>
      </c>
      <c r="F69" s="31" t="n">
        <f aca="false">نسبت!M65</f>
        <v>2</v>
      </c>
      <c r="L69" s="37" t="n">
        <f aca="false">IF($P$70=$P$69*($P$69-1)/2,GEOMEAN(C69:F69),"")</f>
        <v>1.68179283050743</v>
      </c>
      <c r="M69" s="36" t="n">
        <f aca="false">IF($P$70=$P$69*($P$69-1)/2,L69/SUM($L$69:$L$72),"")</f>
        <v>0.4</v>
      </c>
      <c r="O69" s="48" t="s">
        <v>229</v>
      </c>
      <c r="P69" s="11" t="n">
        <f aca="false">ROWS(A69:A72)</f>
        <v>4</v>
      </c>
      <c r="Q69" s="8" t="s">
        <v>145</v>
      </c>
      <c r="S69" s="30" t="n">
        <f aca="false">IF(AND(ISNUMBER(D69),ISNUMBER($M69),ISNUMBER($M70)),MAX(D69*$M70/$M69,$M69/(D69*$M70)),"")</f>
        <v>1</v>
      </c>
      <c r="T69" s="30" t="n">
        <f aca="false">IF(AND(ISNUMBER(E69),ISNUMBER($M69),ISNUMBER($M71)),MAX(E69*$M71/$M69,$M69/(E69*$M71)),"")</f>
        <v>1</v>
      </c>
      <c r="U69" s="30" t="n">
        <f aca="false">IF(AND(ISNUMBER(F69),ISNUMBER($M69),ISNUMBER($M72)),MAX(F69*$M72/$M69,$M69/(F69*$M72)),"")</f>
        <v>1</v>
      </c>
      <c r="AA69" s="49" t="n">
        <f aca="false">IF(COUNT(R69:U69)=0,"",MAX(R69:U69))</f>
        <v>1</v>
      </c>
    </row>
    <row r="70" customFormat="false" ht="27" hidden="false" customHeight="true" outlineLevel="0" collapsed="false">
      <c r="A70" s="19" t="s">
        <v>147</v>
      </c>
      <c r="B70" s="9" t="s">
        <v>148</v>
      </c>
      <c r="C70" s="31" t="n">
        <f aca="false">IF(ISNUMBER(D69),1/D69,"")</f>
        <v>0.5</v>
      </c>
      <c r="D70" s="31" t="n">
        <v>1</v>
      </c>
      <c r="E70" s="31" t="n">
        <f aca="false">نسبت!M66</f>
        <v>1</v>
      </c>
      <c r="F70" s="31" t="n">
        <f aca="false">نسبت!M67</f>
        <v>1</v>
      </c>
      <c r="L70" s="37" t="n">
        <f aca="false">IF($P$70=$P$69*($P$69-1)/2,GEOMEAN(C70:F70),"")</f>
        <v>0.840896415253715</v>
      </c>
      <c r="M70" s="36" t="n">
        <f aca="false">IF($P$70=$P$69*($P$69-1)/2,L70/SUM($L$69:$L$72),"")</f>
        <v>0.2</v>
      </c>
      <c r="O70" s="48" t="s">
        <v>230</v>
      </c>
      <c r="P70" s="11" t="n">
        <f aca="false">(COUNT(C69:F72)-$P$69)/2</f>
        <v>6</v>
      </c>
      <c r="Q70" s="8" t="s">
        <v>147</v>
      </c>
      <c r="T70" s="30" t="n">
        <f aca="false">IF(AND(ISNUMBER(E70),ISNUMBER($M70),ISNUMBER($M71)),MAX(E70*$M71/$M70,$M70/(E70*$M71)),"")</f>
        <v>1</v>
      </c>
      <c r="U70" s="30" t="n">
        <f aca="false">IF(AND(ISNUMBER(F70),ISNUMBER($M70),ISNUMBER($M72)),MAX(F70*$M72/$M70,$M70/(F70*$M72)),"")</f>
        <v>1</v>
      </c>
      <c r="AA70" s="49" t="n">
        <f aca="false">IF(COUNT(R70:U70)=0,"",MAX(R70:U70))</f>
        <v>1</v>
      </c>
    </row>
    <row r="71" customFormat="false" ht="27" hidden="false" customHeight="true" outlineLevel="0" collapsed="false">
      <c r="A71" s="19" t="s">
        <v>149</v>
      </c>
      <c r="B71" s="9" t="s">
        <v>150</v>
      </c>
      <c r="C71" s="31" t="n">
        <f aca="false">IF(ISNUMBER(E69),1/E69,"")</f>
        <v>0.5</v>
      </c>
      <c r="D71" s="31" t="n">
        <f aca="false">IF(ISNUMBER(E70),1/E70,"")</f>
        <v>1</v>
      </c>
      <c r="E71" s="31" t="n">
        <v>1</v>
      </c>
      <c r="F71" s="31" t="n">
        <f aca="false">نسبت!M68</f>
        <v>1</v>
      </c>
      <c r="L71" s="37" t="n">
        <f aca="false">IF($P$70=$P$69*($P$69-1)/2,GEOMEAN(C71:F71),"")</f>
        <v>0.840896415253715</v>
      </c>
      <c r="M71" s="36" t="n">
        <f aca="false">IF($P$70=$P$69*($P$69-1)/2,L71/SUM($L$69:$L$72),"")</f>
        <v>0.2</v>
      </c>
      <c r="O71" s="48" t="s">
        <v>231</v>
      </c>
      <c r="P71" s="37" t="n">
        <f aca="false">IF($P$70=$P$69*($P$69-1)/2,SUMPRODUCT(C73:F73,C74:F74),"")</f>
        <v>4</v>
      </c>
      <c r="Q71" s="8" t="s">
        <v>149</v>
      </c>
      <c r="U71" s="30" t="n">
        <f aca="false">IF(AND(ISNUMBER(F71),ISNUMBER($M71),ISNUMBER($M72)),MAX(F71*$M72/$M71,$M71/(F71*$M72)),"")</f>
        <v>1</v>
      </c>
      <c r="AA71" s="49" t="n">
        <f aca="false">IF(COUNT(R71:U71)=0,"",MAX(R71:U71))</f>
        <v>1</v>
      </c>
    </row>
    <row r="72" customFormat="false" ht="27" hidden="false" customHeight="true" outlineLevel="0" collapsed="false">
      <c r="A72" s="19" t="s">
        <v>151</v>
      </c>
      <c r="B72" s="9" t="s">
        <v>152</v>
      </c>
      <c r="C72" s="31" t="n">
        <f aca="false">IF(ISNUMBER(F69),1/F69,"")</f>
        <v>0.5</v>
      </c>
      <c r="D72" s="31" t="n">
        <f aca="false">IF(ISNUMBER(F70),1/F70,"")</f>
        <v>1</v>
      </c>
      <c r="E72" s="31" t="n">
        <f aca="false">IF(ISNUMBER(F71),1/F71,"")</f>
        <v>1</v>
      </c>
      <c r="F72" s="31" t="n">
        <v>1</v>
      </c>
      <c r="L72" s="37" t="n">
        <f aca="false">IF($P$70=$P$69*($P$69-1)/2,GEOMEAN(C72:F72),"")</f>
        <v>0.840896415253715</v>
      </c>
      <c r="M72" s="36" t="n">
        <f aca="false">IF($P$70=$P$69*($P$69-1)/2,L72/SUM($L$69:$L$72),"")</f>
        <v>0.2</v>
      </c>
      <c r="O72" s="48" t="s">
        <v>48</v>
      </c>
      <c r="P72" s="37" t="n">
        <f aca="false">IF(ISNUMBER(P71),(P71-$P$69)/($P$69-1),"")</f>
        <v>0</v>
      </c>
      <c r="Q72" s="8" t="s">
        <v>151</v>
      </c>
    </row>
    <row r="73" customFormat="false" ht="15" hidden="false" customHeight="false" outlineLevel="0" collapsed="false">
      <c r="A73" s="50"/>
      <c r="B73" s="51" t="s">
        <v>235</v>
      </c>
      <c r="C73" s="52" t="n">
        <f aca="false">IF($P$70=$P$69*($P$69-1)/2,SUM(C69:C72),"")</f>
        <v>2.5</v>
      </c>
      <c r="D73" s="52" t="n">
        <f aca="false">IF($P$70=$P$69*($P$69-1)/2,SUM(D69:D72),"")</f>
        <v>5</v>
      </c>
      <c r="E73" s="52" t="n">
        <f aca="false">IF($P$70=$P$69*($P$69-1)/2,SUM(E69:E72),"")</f>
        <v>5</v>
      </c>
      <c r="F73" s="52" t="n">
        <f aca="false">IF($P$70=$P$69*($P$69-1)/2,SUM(F69:F72),"")</f>
        <v>5</v>
      </c>
      <c r="M73" s="53" t="n">
        <f aca="false">IF($P$70=$P$69*($P$69-1)/2,SUM(M69:M72),"")</f>
        <v>1</v>
      </c>
      <c r="O73" s="48" t="s">
        <v>232</v>
      </c>
      <c r="P73" s="30" t="n">
        <f aca="false">INDEX(راهنما!$C$29:$C$38,MATCH($P$69,راهنما!$B$29:$B$38,0))</f>
        <v>0.9</v>
      </c>
    </row>
    <row r="74" customFormat="false" ht="15" hidden="false" customHeight="false" outlineLevel="0" collapsed="false">
      <c r="A74" s="50"/>
      <c r="B74" s="51" t="s">
        <v>236</v>
      </c>
      <c r="C74" s="53" t="n">
        <f aca="false">M69</f>
        <v>0.4</v>
      </c>
      <c r="D74" s="53" t="n">
        <f aca="false">M70</f>
        <v>0.2</v>
      </c>
      <c r="E74" s="53" t="n">
        <f aca="false">M71</f>
        <v>0.2</v>
      </c>
      <c r="F74" s="53" t="n">
        <f aca="false">M72</f>
        <v>0.2</v>
      </c>
      <c r="O74" s="48" t="s">
        <v>50</v>
      </c>
      <c r="P74" s="41" t="n">
        <f aca="false">IF(ISNUMBER(P72),IF(P73=0,0,MAX(0,P72)/P73),"")</f>
        <v>0</v>
      </c>
    </row>
    <row r="75" customFormat="false" ht="15" hidden="false" customHeight="false" outlineLevel="0" collapsed="false">
      <c r="O75" s="48" t="s">
        <v>83</v>
      </c>
      <c r="P75" s="10" t="str">
        <f aca="false">IF(NOT($P$70=$P$69*($P$69-1)/2),"ناقص",IF(P74&lt;=$P$3,"سازگار","ناسازگار"))</f>
        <v>سازگار</v>
      </c>
    </row>
    <row r="76" customFormat="false" ht="15" hidden="false" customHeight="false" outlineLevel="0" collapsed="false">
      <c r="O76" s="48" t="s">
        <v>233</v>
      </c>
      <c r="P76" s="30" t="n">
        <f aca="false">IF(COUNT(AA69:AA72)=0,"",MAX(AA69:AA72))</f>
        <v>1</v>
      </c>
    </row>
    <row r="77" customFormat="false" ht="15" hidden="false" customHeight="false" outlineLevel="0" collapsed="false">
      <c r="O77" s="48" t="s">
        <v>234</v>
      </c>
      <c r="P77" s="19" t="str">
        <f aca="false">IF(ISNUMBER(P76),INDEX(A69:A72,MATCH(P76,AA69:AA72,0))&amp;" و "&amp;INDEX(C68:F68,MATCH(P76,INDEX(R69:U72,MATCH(P76,AA69:AA72,0),0),0)),"")</f>
        <v>گ۱۵ و گ۱۶</v>
      </c>
    </row>
    <row r="79" customFormat="false" ht="15" hidden="false" customHeight="false" outlineLevel="0" collapsed="false">
      <c r="A79" s="45" t="s">
        <v>242</v>
      </c>
      <c r="B79" s="45"/>
      <c r="C79" s="45"/>
      <c r="D79" s="45"/>
      <c r="E79" s="45"/>
      <c r="F79" s="45"/>
      <c r="G79" s="45"/>
      <c r="H79" s="45"/>
      <c r="I79" s="45"/>
      <c r="J79" s="45"/>
      <c r="K79" s="45"/>
      <c r="L79" s="45"/>
      <c r="M79" s="45"/>
      <c r="Q79" s="46" t="s">
        <v>224</v>
      </c>
      <c r="R79" s="46"/>
      <c r="S79" s="46"/>
      <c r="T79" s="46"/>
      <c r="U79" s="46"/>
      <c r="V79" s="46"/>
      <c r="W79" s="46"/>
      <c r="X79" s="46"/>
      <c r="Y79" s="46"/>
      <c r="Z79" s="46"/>
      <c r="AA79" s="46"/>
    </row>
    <row r="80" customFormat="false" ht="27.75" hidden="false" customHeight="true" outlineLevel="0" collapsed="false">
      <c r="A80" s="8" t="s">
        <v>199</v>
      </c>
      <c r="B80" s="8" t="s">
        <v>225</v>
      </c>
      <c r="C80" s="8" t="s">
        <v>153</v>
      </c>
      <c r="D80" s="8" t="s">
        <v>155</v>
      </c>
      <c r="E80" s="8" t="s">
        <v>157</v>
      </c>
      <c r="L80" s="7" t="s">
        <v>226</v>
      </c>
      <c r="M80" s="8" t="s">
        <v>227</v>
      </c>
      <c r="Q80" s="8" t="s">
        <v>199</v>
      </c>
      <c r="R80" s="8" t="s">
        <v>153</v>
      </c>
      <c r="S80" s="8" t="s">
        <v>155</v>
      </c>
      <c r="T80" s="8" t="s">
        <v>157</v>
      </c>
      <c r="AA80" s="47" t="s">
        <v>228</v>
      </c>
    </row>
    <row r="81" customFormat="false" ht="27" hidden="false" customHeight="true" outlineLevel="0" collapsed="false">
      <c r="A81" s="19" t="s">
        <v>153</v>
      </c>
      <c r="B81" s="9" t="s">
        <v>154</v>
      </c>
      <c r="C81" s="31" t="n">
        <v>1</v>
      </c>
      <c r="D81" s="31" t="n">
        <f aca="false">نسبت!M69</f>
        <v>2</v>
      </c>
      <c r="E81" s="31" t="n">
        <f aca="false">نسبت!M70</f>
        <v>2</v>
      </c>
      <c r="L81" s="37" t="n">
        <f aca="false">IF($P$82=$P$81*($P$81-1)/2,GEOMEAN(C81:E81),"")</f>
        <v>1.5874010519682</v>
      </c>
      <c r="M81" s="36" t="n">
        <f aca="false">IF($P$82=$P$81*($P$81-1)/2,L81/SUM($L$81:$L$83),"")</f>
        <v>0.5</v>
      </c>
      <c r="O81" s="48" t="s">
        <v>229</v>
      </c>
      <c r="P81" s="11" t="n">
        <f aca="false">ROWS(A81:A83)</f>
        <v>3</v>
      </c>
      <c r="Q81" s="8" t="s">
        <v>153</v>
      </c>
      <c r="S81" s="30" t="n">
        <f aca="false">IF(AND(ISNUMBER(D81),ISNUMBER($M81),ISNUMBER($M82)),MAX(D81*$M82/$M81,$M81/(D81*$M82)),"")</f>
        <v>1</v>
      </c>
      <c r="T81" s="30" t="n">
        <f aca="false">IF(AND(ISNUMBER(E81),ISNUMBER($M81),ISNUMBER($M83)),MAX(E81*$M83/$M81,$M81/(E81*$M83)),"")</f>
        <v>1</v>
      </c>
      <c r="AA81" s="49" t="n">
        <f aca="false">IF(COUNT(R81:T81)=0,"",MAX(R81:T81))</f>
        <v>1</v>
      </c>
    </row>
    <row r="82" customFormat="false" ht="27" hidden="false" customHeight="true" outlineLevel="0" collapsed="false">
      <c r="A82" s="19" t="s">
        <v>155</v>
      </c>
      <c r="B82" s="9" t="s">
        <v>156</v>
      </c>
      <c r="C82" s="31" t="n">
        <f aca="false">IF(ISNUMBER(D81),1/D81,"")</f>
        <v>0.5</v>
      </c>
      <c r="D82" s="31" t="n">
        <v>1</v>
      </c>
      <c r="E82" s="31" t="n">
        <f aca="false">نسبت!M71</f>
        <v>1</v>
      </c>
      <c r="L82" s="37" t="n">
        <f aca="false">IF($P$82=$P$81*($P$81-1)/2,GEOMEAN(C82:E82),"")</f>
        <v>0.7937005259841</v>
      </c>
      <c r="M82" s="36" t="n">
        <f aca="false">IF($P$82=$P$81*($P$81-1)/2,L82/SUM($L$81:$L$83),"")</f>
        <v>0.25</v>
      </c>
      <c r="O82" s="48" t="s">
        <v>230</v>
      </c>
      <c r="P82" s="11" t="n">
        <f aca="false">(COUNT(C81:E83)-$P$81)/2</f>
        <v>3</v>
      </c>
      <c r="Q82" s="8" t="s">
        <v>155</v>
      </c>
      <c r="T82" s="30" t="n">
        <f aca="false">IF(AND(ISNUMBER(E82),ISNUMBER($M82),ISNUMBER($M83)),MAX(E82*$M83/$M82,$M82/(E82*$M83)),"")</f>
        <v>1</v>
      </c>
      <c r="AA82" s="49" t="n">
        <f aca="false">IF(COUNT(R82:T82)=0,"",MAX(R82:T82))</f>
        <v>1</v>
      </c>
    </row>
    <row r="83" customFormat="false" ht="27" hidden="false" customHeight="true" outlineLevel="0" collapsed="false">
      <c r="A83" s="19" t="s">
        <v>157</v>
      </c>
      <c r="B83" s="9" t="s">
        <v>158</v>
      </c>
      <c r="C83" s="31" t="n">
        <f aca="false">IF(ISNUMBER(E81),1/E81,"")</f>
        <v>0.5</v>
      </c>
      <c r="D83" s="31" t="n">
        <f aca="false">IF(ISNUMBER(E82),1/E82,"")</f>
        <v>1</v>
      </c>
      <c r="E83" s="31" t="n">
        <v>1</v>
      </c>
      <c r="L83" s="37" t="n">
        <f aca="false">IF($P$82=$P$81*($P$81-1)/2,GEOMEAN(C83:E83),"")</f>
        <v>0.7937005259841</v>
      </c>
      <c r="M83" s="36" t="n">
        <f aca="false">IF($P$82=$P$81*($P$81-1)/2,L83/SUM($L$81:$L$83),"")</f>
        <v>0.25</v>
      </c>
      <c r="O83" s="48" t="s">
        <v>231</v>
      </c>
      <c r="P83" s="37" t="n">
        <f aca="false">IF($P$82=$P$81*($P$81-1)/2,SUMPRODUCT(C84:E84,C85:E85),"")</f>
        <v>3</v>
      </c>
      <c r="Q83" s="8" t="s">
        <v>157</v>
      </c>
    </row>
    <row r="84" customFormat="false" ht="15" hidden="false" customHeight="false" outlineLevel="0" collapsed="false">
      <c r="A84" s="50"/>
      <c r="B84" s="51" t="s">
        <v>235</v>
      </c>
      <c r="C84" s="52" t="n">
        <f aca="false">IF($P$82=$P$81*($P$81-1)/2,SUM(C81:C83),"")</f>
        <v>2</v>
      </c>
      <c r="D84" s="52" t="n">
        <f aca="false">IF($P$82=$P$81*($P$81-1)/2,SUM(D81:D83),"")</f>
        <v>4</v>
      </c>
      <c r="E84" s="52" t="n">
        <f aca="false">IF($P$82=$P$81*($P$81-1)/2,SUM(E81:E83),"")</f>
        <v>4</v>
      </c>
      <c r="M84" s="53" t="n">
        <f aca="false">IF($P$82=$P$81*($P$81-1)/2,SUM(M81:M83),"")</f>
        <v>1</v>
      </c>
      <c r="O84" s="48" t="s">
        <v>48</v>
      </c>
      <c r="P84" s="37" t="n">
        <f aca="false">IF(ISNUMBER(P83),(P83-$P$81)/($P$81-1),"")</f>
        <v>0</v>
      </c>
    </row>
    <row r="85" customFormat="false" ht="15" hidden="false" customHeight="false" outlineLevel="0" collapsed="false">
      <c r="A85" s="50"/>
      <c r="B85" s="51" t="s">
        <v>236</v>
      </c>
      <c r="C85" s="53" t="n">
        <f aca="false">M81</f>
        <v>0.5</v>
      </c>
      <c r="D85" s="53" t="n">
        <f aca="false">M82</f>
        <v>0.25</v>
      </c>
      <c r="E85" s="53" t="n">
        <f aca="false">M83</f>
        <v>0.25</v>
      </c>
      <c r="O85" s="48" t="s">
        <v>232</v>
      </c>
      <c r="P85" s="30" t="n">
        <f aca="false">INDEX(راهنما!$C$29:$C$38,MATCH($P$81,راهنما!$B$29:$B$38,0))</f>
        <v>0.58</v>
      </c>
    </row>
    <row r="86" customFormat="false" ht="15" hidden="false" customHeight="false" outlineLevel="0" collapsed="false">
      <c r="O86" s="48" t="s">
        <v>50</v>
      </c>
      <c r="P86" s="41" t="n">
        <f aca="false">IF(ISNUMBER(P84),IF(P85=0,0,MAX(0,P84)/P85),"")</f>
        <v>0</v>
      </c>
    </row>
    <row r="87" customFormat="false" ht="15" hidden="false" customHeight="false" outlineLevel="0" collapsed="false">
      <c r="O87" s="48" t="s">
        <v>83</v>
      </c>
      <c r="P87" s="10" t="str">
        <f aca="false">IF(NOT($P$82=$P$81*($P$81-1)/2),"ناقص",IF(P86&lt;=$P$3,"سازگار","ناسازگار"))</f>
        <v>سازگار</v>
      </c>
    </row>
    <row r="88" customFormat="false" ht="15" hidden="false" customHeight="false" outlineLevel="0" collapsed="false">
      <c r="O88" s="48" t="s">
        <v>233</v>
      </c>
      <c r="P88" s="30" t="n">
        <f aca="false">IF(COUNT(AA81:AA83)=0,"",MAX(AA81:AA83))</f>
        <v>1</v>
      </c>
    </row>
    <row r="89" customFormat="false" ht="15" hidden="false" customHeight="false" outlineLevel="0" collapsed="false">
      <c r="O89" s="48" t="s">
        <v>234</v>
      </c>
      <c r="P89" s="19" t="str">
        <f aca="false">IF(ISNUMBER(P88),INDEX(A81:A83,MATCH(P88,AA81:AA83,0))&amp;" و "&amp;INDEX(C80:E80,MATCH(P88,INDEX(R81:T83,MATCH(P88,AA81:AA83,0),0),0)),"")</f>
        <v>گ۱۹ و گ۲۰</v>
      </c>
    </row>
    <row r="91" customFormat="false" ht="15" hidden="false" customHeight="false" outlineLevel="0" collapsed="false">
      <c r="A91" s="45" t="s">
        <v>243</v>
      </c>
      <c r="B91" s="45"/>
      <c r="C91" s="45"/>
      <c r="D91" s="45"/>
      <c r="E91" s="45"/>
      <c r="F91" s="45"/>
      <c r="G91" s="45"/>
      <c r="H91" s="45"/>
      <c r="I91" s="45"/>
      <c r="J91" s="45"/>
      <c r="K91" s="45"/>
      <c r="L91" s="45"/>
      <c r="M91" s="45"/>
      <c r="Q91" s="46" t="s">
        <v>224</v>
      </c>
      <c r="R91" s="46"/>
      <c r="S91" s="46"/>
      <c r="T91" s="46"/>
      <c r="U91" s="46"/>
      <c r="V91" s="46"/>
      <c r="W91" s="46"/>
      <c r="X91" s="46"/>
      <c r="Y91" s="46"/>
      <c r="Z91" s="46"/>
      <c r="AA91" s="46"/>
    </row>
    <row r="92" customFormat="false" ht="27.75" hidden="false" customHeight="true" outlineLevel="0" collapsed="false">
      <c r="A92" s="8" t="s">
        <v>199</v>
      </c>
      <c r="B92" s="8" t="s">
        <v>225</v>
      </c>
      <c r="C92" s="8" t="s">
        <v>159</v>
      </c>
      <c r="D92" s="8" t="s">
        <v>161</v>
      </c>
      <c r="E92" s="8" t="s">
        <v>163</v>
      </c>
      <c r="L92" s="7" t="s">
        <v>226</v>
      </c>
      <c r="M92" s="8" t="s">
        <v>227</v>
      </c>
      <c r="Q92" s="8" t="s">
        <v>199</v>
      </c>
      <c r="R92" s="8" t="s">
        <v>159</v>
      </c>
      <c r="S92" s="8" t="s">
        <v>161</v>
      </c>
      <c r="T92" s="8" t="s">
        <v>163</v>
      </c>
      <c r="AA92" s="47" t="s">
        <v>228</v>
      </c>
    </row>
    <row r="93" customFormat="false" ht="27" hidden="false" customHeight="true" outlineLevel="0" collapsed="false">
      <c r="A93" s="19" t="s">
        <v>159</v>
      </c>
      <c r="B93" s="9" t="s">
        <v>160</v>
      </c>
      <c r="C93" s="31" t="n">
        <v>1</v>
      </c>
      <c r="D93" s="31" t="n">
        <f aca="false">نسبت!M72</f>
        <v>1</v>
      </c>
      <c r="E93" s="31" t="n">
        <f aca="false">نسبت!M73</f>
        <v>1</v>
      </c>
      <c r="L93" s="37" t="n">
        <f aca="false">IF($P$94=$P$93*($P$93-1)/2,GEOMEAN(C93:E93),"")</f>
        <v>1</v>
      </c>
      <c r="M93" s="36" t="n">
        <f aca="false">IF($P$94=$P$93*($P$93-1)/2,L93/SUM($L$93:$L$95),"")</f>
        <v>0.333333333333333</v>
      </c>
      <c r="O93" s="48" t="s">
        <v>229</v>
      </c>
      <c r="P93" s="11" t="n">
        <f aca="false">ROWS(A93:A95)</f>
        <v>3</v>
      </c>
      <c r="Q93" s="8" t="s">
        <v>159</v>
      </c>
      <c r="S93" s="30" t="n">
        <f aca="false">IF(AND(ISNUMBER(D93),ISNUMBER($M93),ISNUMBER($M94)),MAX(D93*$M94/$M93,$M93/(D93*$M94)),"")</f>
        <v>1</v>
      </c>
      <c r="T93" s="30" t="n">
        <f aca="false">IF(AND(ISNUMBER(E93),ISNUMBER($M93),ISNUMBER($M95)),MAX(E93*$M95/$M93,$M93/(E93*$M95)),"")</f>
        <v>1</v>
      </c>
      <c r="AA93" s="49" t="n">
        <f aca="false">IF(COUNT(R93:T93)=0,"",MAX(R93:T93))</f>
        <v>1</v>
      </c>
    </row>
    <row r="94" customFormat="false" ht="27" hidden="false" customHeight="true" outlineLevel="0" collapsed="false">
      <c r="A94" s="19" t="s">
        <v>161</v>
      </c>
      <c r="B94" s="9" t="s">
        <v>162</v>
      </c>
      <c r="C94" s="31" t="n">
        <f aca="false">IF(ISNUMBER(D93),1/D93,"")</f>
        <v>1</v>
      </c>
      <c r="D94" s="31" t="n">
        <v>1</v>
      </c>
      <c r="E94" s="31" t="n">
        <f aca="false">نسبت!M74</f>
        <v>1</v>
      </c>
      <c r="L94" s="37" t="n">
        <f aca="false">IF($P$94=$P$93*($P$93-1)/2,GEOMEAN(C94:E94),"")</f>
        <v>1</v>
      </c>
      <c r="M94" s="36" t="n">
        <f aca="false">IF($P$94=$P$93*($P$93-1)/2,L94/SUM($L$93:$L$95),"")</f>
        <v>0.333333333333333</v>
      </c>
      <c r="O94" s="48" t="s">
        <v>230</v>
      </c>
      <c r="P94" s="11" t="n">
        <f aca="false">(COUNT(C93:E95)-$P$93)/2</f>
        <v>3</v>
      </c>
      <c r="Q94" s="8" t="s">
        <v>161</v>
      </c>
      <c r="T94" s="30" t="n">
        <f aca="false">IF(AND(ISNUMBER(E94),ISNUMBER($M94),ISNUMBER($M95)),MAX(E94*$M95/$M94,$M94/(E94*$M95)),"")</f>
        <v>1</v>
      </c>
      <c r="AA94" s="49" t="n">
        <f aca="false">IF(COUNT(R94:T94)=0,"",MAX(R94:T94))</f>
        <v>1</v>
      </c>
    </row>
    <row r="95" customFormat="false" ht="27" hidden="false" customHeight="true" outlineLevel="0" collapsed="false">
      <c r="A95" s="19" t="s">
        <v>163</v>
      </c>
      <c r="B95" s="9" t="s">
        <v>164</v>
      </c>
      <c r="C95" s="31" t="n">
        <f aca="false">IF(ISNUMBER(E93),1/E93,"")</f>
        <v>1</v>
      </c>
      <c r="D95" s="31" t="n">
        <f aca="false">IF(ISNUMBER(E94),1/E94,"")</f>
        <v>1</v>
      </c>
      <c r="E95" s="31" t="n">
        <v>1</v>
      </c>
      <c r="L95" s="37" t="n">
        <f aca="false">IF($P$94=$P$93*($P$93-1)/2,GEOMEAN(C95:E95),"")</f>
        <v>1</v>
      </c>
      <c r="M95" s="36" t="n">
        <f aca="false">IF($P$94=$P$93*($P$93-1)/2,L95/SUM($L$93:$L$95),"")</f>
        <v>0.333333333333333</v>
      </c>
      <c r="O95" s="48" t="s">
        <v>231</v>
      </c>
      <c r="P95" s="37" t="n">
        <f aca="false">IF($P$94=$P$93*($P$93-1)/2,SUMPRODUCT(C96:E96,C97:E97),"")</f>
        <v>3</v>
      </c>
      <c r="Q95" s="8" t="s">
        <v>163</v>
      </c>
    </row>
    <row r="96" customFormat="false" ht="15" hidden="false" customHeight="false" outlineLevel="0" collapsed="false">
      <c r="A96" s="50"/>
      <c r="B96" s="51" t="s">
        <v>235</v>
      </c>
      <c r="C96" s="52" t="n">
        <f aca="false">IF($P$94=$P$93*($P$93-1)/2,SUM(C93:C95),"")</f>
        <v>3</v>
      </c>
      <c r="D96" s="52" t="n">
        <f aca="false">IF($P$94=$P$93*($P$93-1)/2,SUM(D93:D95),"")</f>
        <v>3</v>
      </c>
      <c r="E96" s="52" t="n">
        <f aca="false">IF($P$94=$P$93*($P$93-1)/2,SUM(E93:E95),"")</f>
        <v>3</v>
      </c>
      <c r="M96" s="53" t="n">
        <f aca="false">IF($P$94=$P$93*($P$93-1)/2,SUM(M93:M95),"")</f>
        <v>1</v>
      </c>
      <c r="O96" s="48" t="s">
        <v>48</v>
      </c>
      <c r="P96" s="37" t="n">
        <f aca="false">IF(ISNUMBER(P95),(P95-$P$93)/($P$93-1),"")</f>
        <v>0</v>
      </c>
    </row>
    <row r="97" customFormat="false" ht="15" hidden="false" customHeight="false" outlineLevel="0" collapsed="false">
      <c r="A97" s="50"/>
      <c r="B97" s="51" t="s">
        <v>236</v>
      </c>
      <c r="C97" s="53" t="n">
        <f aca="false">M93</f>
        <v>0.333333333333333</v>
      </c>
      <c r="D97" s="53" t="n">
        <f aca="false">M94</f>
        <v>0.333333333333333</v>
      </c>
      <c r="E97" s="53" t="n">
        <f aca="false">M95</f>
        <v>0.333333333333333</v>
      </c>
      <c r="O97" s="48" t="s">
        <v>232</v>
      </c>
      <c r="P97" s="30" t="n">
        <f aca="false">INDEX(راهنما!$C$29:$C$38,MATCH($P$93,راهنما!$B$29:$B$38,0))</f>
        <v>0.58</v>
      </c>
    </row>
    <row r="98" customFormat="false" ht="15" hidden="false" customHeight="false" outlineLevel="0" collapsed="false">
      <c r="O98" s="48" t="s">
        <v>50</v>
      </c>
      <c r="P98" s="41" t="n">
        <f aca="false">IF(ISNUMBER(P96),IF(P97=0,0,MAX(0,P96)/P97),"")</f>
        <v>0</v>
      </c>
    </row>
    <row r="99" customFormat="false" ht="15" hidden="false" customHeight="false" outlineLevel="0" collapsed="false">
      <c r="O99" s="48" t="s">
        <v>83</v>
      </c>
      <c r="P99" s="10" t="str">
        <f aca="false">IF(NOT($P$94=$P$93*($P$93-1)/2),"ناقص",IF(P98&lt;=$P$3,"سازگار","ناسازگار"))</f>
        <v>سازگار</v>
      </c>
    </row>
    <row r="100" customFormat="false" ht="15" hidden="false" customHeight="false" outlineLevel="0" collapsed="false">
      <c r="O100" s="48" t="s">
        <v>233</v>
      </c>
      <c r="P100" s="30" t="n">
        <f aca="false">IF(COUNT(AA93:AA95)=0,"",MAX(AA93:AA95))</f>
        <v>1</v>
      </c>
    </row>
    <row r="101" customFormat="false" ht="15" hidden="false" customHeight="false" outlineLevel="0" collapsed="false">
      <c r="O101" s="48" t="s">
        <v>234</v>
      </c>
      <c r="P101" s="19" t="str">
        <f aca="false">IF(ISNUMBER(P100),INDEX(A93:A95,MATCH(P100,AA93:AA95,0))&amp;" و "&amp;INDEX(C92:E92,MATCH(P100,INDEX(R93:T95,MATCH(P100,AA93:AA95,0),0),0)),"")</f>
        <v>گ۲۲ و گ۲۳</v>
      </c>
    </row>
    <row r="103" customFormat="false" ht="15" hidden="false" customHeight="false" outlineLevel="0" collapsed="false">
      <c r="A103" s="45" t="s">
        <v>244</v>
      </c>
      <c r="B103" s="45"/>
      <c r="C103" s="45"/>
      <c r="D103" s="45"/>
      <c r="E103" s="45"/>
      <c r="F103" s="45"/>
      <c r="G103" s="45"/>
      <c r="H103" s="45"/>
      <c r="I103" s="45"/>
      <c r="J103" s="45"/>
      <c r="K103" s="45"/>
      <c r="L103" s="45"/>
      <c r="M103" s="45"/>
      <c r="Q103" s="46" t="s">
        <v>224</v>
      </c>
      <c r="R103" s="46"/>
      <c r="S103" s="46"/>
      <c r="T103" s="46"/>
      <c r="U103" s="46"/>
      <c r="V103" s="46"/>
      <c r="W103" s="46"/>
      <c r="X103" s="46"/>
      <c r="Y103" s="46"/>
      <c r="Z103" s="46"/>
      <c r="AA103" s="46"/>
    </row>
    <row r="104" customFormat="false" ht="27.75" hidden="false" customHeight="true" outlineLevel="0" collapsed="false">
      <c r="A104" s="8" t="s">
        <v>199</v>
      </c>
      <c r="B104" s="8" t="s">
        <v>225</v>
      </c>
      <c r="C104" s="8" t="s">
        <v>165</v>
      </c>
      <c r="D104" s="8" t="s">
        <v>167</v>
      </c>
      <c r="E104" s="8" t="s">
        <v>169</v>
      </c>
      <c r="L104" s="7" t="s">
        <v>226</v>
      </c>
      <c r="M104" s="8" t="s">
        <v>227</v>
      </c>
      <c r="Q104" s="8" t="s">
        <v>199</v>
      </c>
      <c r="R104" s="8" t="s">
        <v>165</v>
      </c>
      <c r="S104" s="8" t="s">
        <v>167</v>
      </c>
      <c r="T104" s="8" t="s">
        <v>169</v>
      </c>
      <c r="AA104" s="47" t="s">
        <v>228</v>
      </c>
    </row>
    <row r="105" customFormat="false" ht="27" hidden="false" customHeight="true" outlineLevel="0" collapsed="false">
      <c r="A105" s="19" t="s">
        <v>165</v>
      </c>
      <c r="B105" s="9" t="s">
        <v>166</v>
      </c>
      <c r="C105" s="31" t="n">
        <v>1</v>
      </c>
      <c r="D105" s="31" t="n">
        <f aca="false">نسبت!M75</f>
        <v>2</v>
      </c>
      <c r="E105" s="31" t="n">
        <f aca="false">نسبت!M76</f>
        <v>2</v>
      </c>
      <c r="L105" s="37" t="n">
        <f aca="false">IF($P$106=$P$105*($P$105-1)/2,GEOMEAN(C105:E105),"")</f>
        <v>1.5874010519682</v>
      </c>
      <c r="M105" s="36" t="n">
        <f aca="false">IF($P$106=$P$105*($P$105-1)/2,L105/SUM($L$105:$L$107),"")</f>
        <v>0.5</v>
      </c>
      <c r="O105" s="48" t="s">
        <v>229</v>
      </c>
      <c r="P105" s="11" t="n">
        <f aca="false">ROWS(A105:A107)</f>
        <v>3</v>
      </c>
      <c r="Q105" s="8" t="s">
        <v>165</v>
      </c>
      <c r="S105" s="30" t="n">
        <f aca="false">IF(AND(ISNUMBER(D105),ISNUMBER($M105),ISNUMBER($M106)),MAX(D105*$M106/$M105,$M105/(D105*$M106)),"")</f>
        <v>1</v>
      </c>
      <c r="T105" s="30" t="n">
        <f aca="false">IF(AND(ISNUMBER(E105),ISNUMBER($M105),ISNUMBER($M107)),MAX(E105*$M107/$M105,$M105/(E105*$M107)),"")</f>
        <v>1</v>
      </c>
      <c r="AA105" s="49" t="n">
        <f aca="false">IF(COUNT(R105:T105)=0,"",MAX(R105:T105))</f>
        <v>1</v>
      </c>
    </row>
    <row r="106" customFormat="false" ht="27" hidden="false" customHeight="true" outlineLevel="0" collapsed="false">
      <c r="A106" s="19" t="s">
        <v>167</v>
      </c>
      <c r="B106" s="9" t="s">
        <v>168</v>
      </c>
      <c r="C106" s="31" t="n">
        <f aca="false">IF(ISNUMBER(D105),1/D105,"")</f>
        <v>0.5</v>
      </c>
      <c r="D106" s="31" t="n">
        <v>1</v>
      </c>
      <c r="E106" s="31" t="n">
        <f aca="false">نسبت!M77</f>
        <v>1</v>
      </c>
      <c r="L106" s="37" t="n">
        <f aca="false">IF($P$106=$P$105*($P$105-1)/2,GEOMEAN(C106:E106),"")</f>
        <v>0.7937005259841</v>
      </c>
      <c r="M106" s="36" t="n">
        <f aca="false">IF($P$106=$P$105*($P$105-1)/2,L106/SUM($L$105:$L$107),"")</f>
        <v>0.25</v>
      </c>
      <c r="O106" s="48" t="s">
        <v>230</v>
      </c>
      <c r="P106" s="11" t="n">
        <f aca="false">(COUNT(C105:E107)-$P$105)/2</f>
        <v>3</v>
      </c>
      <c r="Q106" s="8" t="s">
        <v>167</v>
      </c>
      <c r="T106" s="30" t="n">
        <f aca="false">IF(AND(ISNUMBER(E106),ISNUMBER($M106),ISNUMBER($M107)),MAX(E106*$M107/$M106,$M106/(E106*$M107)),"")</f>
        <v>1</v>
      </c>
      <c r="AA106" s="49" t="n">
        <f aca="false">IF(COUNT(R106:T106)=0,"",MAX(R106:T106))</f>
        <v>1</v>
      </c>
    </row>
    <row r="107" customFormat="false" ht="27" hidden="false" customHeight="true" outlineLevel="0" collapsed="false">
      <c r="A107" s="19" t="s">
        <v>169</v>
      </c>
      <c r="B107" s="9" t="s">
        <v>170</v>
      </c>
      <c r="C107" s="31" t="n">
        <f aca="false">IF(ISNUMBER(E105),1/E105,"")</f>
        <v>0.5</v>
      </c>
      <c r="D107" s="31" t="n">
        <f aca="false">IF(ISNUMBER(E106),1/E106,"")</f>
        <v>1</v>
      </c>
      <c r="E107" s="31" t="n">
        <v>1</v>
      </c>
      <c r="L107" s="37" t="n">
        <f aca="false">IF($P$106=$P$105*($P$105-1)/2,GEOMEAN(C107:E107),"")</f>
        <v>0.7937005259841</v>
      </c>
      <c r="M107" s="36" t="n">
        <f aca="false">IF($P$106=$P$105*($P$105-1)/2,L107/SUM($L$105:$L$107),"")</f>
        <v>0.25</v>
      </c>
      <c r="O107" s="48" t="s">
        <v>231</v>
      </c>
      <c r="P107" s="37" t="n">
        <f aca="false">IF($P$106=$P$105*($P$105-1)/2,SUMPRODUCT(C108:E108,C109:E109),"")</f>
        <v>3</v>
      </c>
      <c r="Q107" s="8" t="s">
        <v>169</v>
      </c>
    </row>
    <row r="108" customFormat="false" ht="15" hidden="false" customHeight="false" outlineLevel="0" collapsed="false">
      <c r="A108" s="50"/>
      <c r="B108" s="51" t="s">
        <v>235</v>
      </c>
      <c r="C108" s="52" t="n">
        <f aca="false">IF($P$106=$P$105*($P$105-1)/2,SUM(C105:C107),"")</f>
        <v>2</v>
      </c>
      <c r="D108" s="52" t="n">
        <f aca="false">IF($P$106=$P$105*($P$105-1)/2,SUM(D105:D107),"")</f>
        <v>4</v>
      </c>
      <c r="E108" s="52" t="n">
        <f aca="false">IF($P$106=$P$105*($P$105-1)/2,SUM(E105:E107),"")</f>
        <v>4</v>
      </c>
      <c r="M108" s="53" t="n">
        <f aca="false">IF($P$106=$P$105*($P$105-1)/2,SUM(M105:M107),"")</f>
        <v>1</v>
      </c>
      <c r="O108" s="48" t="s">
        <v>48</v>
      </c>
      <c r="P108" s="37" t="n">
        <f aca="false">IF(ISNUMBER(P107),(P107-$P$105)/($P$105-1),"")</f>
        <v>0</v>
      </c>
    </row>
    <row r="109" customFormat="false" ht="15" hidden="false" customHeight="false" outlineLevel="0" collapsed="false">
      <c r="A109" s="50"/>
      <c r="B109" s="51" t="s">
        <v>236</v>
      </c>
      <c r="C109" s="53" t="n">
        <f aca="false">M105</f>
        <v>0.5</v>
      </c>
      <c r="D109" s="53" t="n">
        <f aca="false">M106</f>
        <v>0.25</v>
      </c>
      <c r="E109" s="53" t="n">
        <f aca="false">M107</f>
        <v>0.25</v>
      </c>
      <c r="O109" s="48" t="s">
        <v>232</v>
      </c>
      <c r="P109" s="30" t="n">
        <f aca="false">INDEX(راهنما!$C$29:$C$38,MATCH($P$105,راهنما!$B$29:$B$38,0))</f>
        <v>0.58</v>
      </c>
    </row>
    <row r="110" customFormat="false" ht="15" hidden="false" customHeight="false" outlineLevel="0" collapsed="false">
      <c r="O110" s="48" t="s">
        <v>50</v>
      </c>
      <c r="P110" s="41" t="n">
        <f aca="false">IF(ISNUMBER(P108),IF(P109=0,0,MAX(0,P108)/P109),"")</f>
        <v>0</v>
      </c>
    </row>
    <row r="111" customFormat="false" ht="15" hidden="false" customHeight="false" outlineLevel="0" collapsed="false">
      <c r="O111" s="48" t="s">
        <v>83</v>
      </c>
      <c r="P111" s="10" t="str">
        <f aca="false">IF(NOT($P$106=$P$105*($P$105-1)/2),"ناقص",IF(P110&lt;=$P$3,"سازگار","ناسازگار"))</f>
        <v>سازگار</v>
      </c>
    </row>
    <row r="112" customFormat="false" ht="15" hidden="false" customHeight="false" outlineLevel="0" collapsed="false">
      <c r="O112" s="48" t="s">
        <v>233</v>
      </c>
      <c r="P112" s="30" t="n">
        <f aca="false">IF(COUNT(AA105:AA107)=0,"",MAX(AA105:AA107))</f>
        <v>1</v>
      </c>
    </row>
    <row r="113" customFormat="false" ht="15" hidden="false" customHeight="false" outlineLevel="0" collapsed="false">
      <c r="O113" s="48" t="s">
        <v>234</v>
      </c>
      <c r="P113" s="19" t="str">
        <f aca="false">IF(ISNUMBER(P112),INDEX(A105:A107,MATCH(P112,AA105:AA107,0))&amp;" و "&amp;INDEX(C104:E104,MATCH(P112,INDEX(R105:T107,MATCH(P112,AA105:AA107,0),0),0)),"")</f>
        <v>گ۲۵ و گ۲۶</v>
      </c>
    </row>
    <row r="115" customFormat="false" ht="15" hidden="false" customHeight="false" outlineLevel="0" collapsed="false">
      <c r="A115" s="45" t="s">
        <v>245</v>
      </c>
      <c r="B115" s="45"/>
      <c r="C115" s="45"/>
      <c r="D115" s="45"/>
      <c r="E115" s="45"/>
      <c r="F115" s="45"/>
      <c r="G115" s="45"/>
      <c r="H115" s="45"/>
      <c r="I115" s="45"/>
      <c r="J115" s="45"/>
      <c r="K115" s="45"/>
      <c r="L115" s="45"/>
      <c r="M115" s="45"/>
      <c r="Q115" s="46" t="s">
        <v>224</v>
      </c>
      <c r="R115" s="46"/>
      <c r="S115" s="46"/>
      <c r="T115" s="46"/>
      <c r="U115" s="46"/>
      <c r="V115" s="46"/>
      <c r="W115" s="46"/>
      <c r="X115" s="46"/>
      <c r="Y115" s="46"/>
      <c r="Z115" s="46"/>
      <c r="AA115" s="46"/>
    </row>
    <row r="116" customFormat="false" ht="27.75" hidden="false" customHeight="true" outlineLevel="0" collapsed="false">
      <c r="A116" s="8" t="s">
        <v>199</v>
      </c>
      <c r="B116" s="8" t="s">
        <v>225</v>
      </c>
      <c r="C116" s="8" t="s">
        <v>171</v>
      </c>
      <c r="D116" s="8" t="s">
        <v>173</v>
      </c>
      <c r="L116" s="7" t="s">
        <v>226</v>
      </c>
      <c r="M116" s="8" t="s">
        <v>227</v>
      </c>
      <c r="Q116" s="8" t="s">
        <v>199</v>
      </c>
      <c r="R116" s="8" t="s">
        <v>171</v>
      </c>
      <c r="S116" s="8" t="s">
        <v>173</v>
      </c>
      <c r="AA116" s="47" t="s">
        <v>228</v>
      </c>
    </row>
    <row r="117" customFormat="false" ht="27" hidden="false" customHeight="true" outlineLevel="0" collapsed="false">
      <c r="A117" s="19" t="s">
        <v>171</v>
      </c>
      <c r="B117" s="9" t="s">
        <v>172</v>
      </c>
      <c r="C117" s="31" t="n">
        <v>1</v>
      </c>
      <c r="D117" s="31" t="n">
        <f aca="false">نسبت!M78</f>
        <v>2</v>
      </c>
      <c r="L117" s="37" t="n">
        <f aca="false">IF($P$118=$P$117*($P$117-1)/2,GEOMEAN(C117:D117),"")</f>
        <v>1.4142135623731</v>
      </c>
      <c r="M117" s="36" t="n">
        <f aca="false">IF($P$118=$P$117*($P$117-1)/2,L117/SUM($L$117:$L$118),"")</f>
        <v>0.666666666666667</v>
      </c>
      <c r="O117" s="48" t="s">
        <v>229</v>
      </c>
      <c r="P117" s="11" t="n">
        <f aca="false">ROWS(A117:A118)</f>
        <v>2</v>
      </c>
      <c r="Q117" s="8" t="s">
        <v>171</v>
      </c>
      <c r="S117" s="30" t="n">
        <f aca="false">IF(AND(ISNUMBER(D117),ISNUMBER($M117),ISNUMBER($M118)),MAX(D117*$M118/$M117,$M117/(D117*$M118)),"")</f>
        <v>1</v>
      </c>
      <c r="AA117" s="49" t="n">
        <f aca="false">IF(COUNT(R117:S117)=0,"",MAX(R117:S117))</f>
        <v>1</v>
      </c>
    </row>
    <row r="118" customFormat="false" ht="27" hidden="false" customHeight="true" outlineLevel="0" collapsed="false">
      <c r="A118" s="19" t="s">
        <v>173</v>
      </c>
      <c r="B118" s="9" t="s">
        <v>174</v>
      </c>
      <c r="C118" s="31" t="n">
        <f aca="false">IF(ISNUMBER(D117),1/D117,"")</f>
        <v>0.5</v>
      </c>
      <c r="D118" s="31" t="n">
        <v>1</v>
      </c>
      <c r="L118" s="37" t="n">
        <f aca="false">IF($P$118=$P$117*($P$117-1)/2,GEOMEAN(C118:D118),"")</f>
        <v>0.707106781186548</v>
      </c>
      <c r="M118" s="36" t="n">
        <f aca="false">IF($P$118=$P$117*($P$117-1)/2,L118/SUM($L$117:$L$118),"")</f>
        <v>0.333333333333333</v>
      </c>
      <c r="O118" s="48" t="s">
        <v>230</v>
      </c>
      <c r="P118" s="11" t="n">
        <f aca="false">(COUNT(C117:D118)-$P$117)/2</f>
        <v>1</v>
      </c>
      <c r="Q118" s="8" t="s">
        <v>173</v>
      </c>
    </row>
    <row r="119" customFormat="false" ht="15" hidden="false" customHeight="false" outlineLevel="0" collapsed="false">
      <c r="A119" s="50"/>
      <c r="B119" s="51" t="s">
        <v>235</v>
      </c>
      <c r="C119" s="52" t="n">
        <f aca="false">IF($P$118=$P$117*($P$117-1)/2,SUM(C117:C118),"")</f>
        <v>1.5</v>
      </c>
      <c r="D119" s="52" t="n">
        <f aca="false">IF($P$118=$P$117*($P$117-1)/2,SUM(D117:D118),"")</f>
        <v>3</v>
      </c>
      <c r="M119" s="53" t="n">
        <f aca="false">IF($P$118=$P$117*($P$117-1)/2,SUM(M117:M118),"")</f>
        <v>1</v>
      </c>
      <c r="O119" s="48" t="s">
        <v>231</v>
      </c>
      <c r="P119" s="37" t="n">
        <f aca="false">IF($P$118=$P$117*($P$117-1)/2,SUMPRODUCT(C119:D119,C120:D120),"")</f>
        <v>2</v>
      </c>
    </row>
    <row r="120" customFormat="false" ht="15" hidden="false" customHeight="false" outlineLevel="0" collapsed="false">
      <c r="A120" s="50"/>
      <c r="B120" s="51" t="s">
        <v>236</v>
      </c>
      <c r="C120" s="53" t="n">
        <f aca="false">M117</f>
        <v>0.666666666666667</v>
      </c>
      <c r="D120" s="53" t="n">
        <f aca="false">M118</f>
        <v>0.333333333333333</v>
      </c>
      <c r="O120" s="48" t="s">
        <v>48</v>
      </c>
      <c r="P120" s="37" t="n">
        <f aca="false">IF(ISNUMBER(P119),(P119-$P$117)/($P$117-1),"")</f>
        <v>0</v>
      </c>
    </row>
    <row r="121" customFormat="false" ht="15" hidden="false" customHeight="false" outlineLevel="0" collapsed="false">
      <c r="O121" s="48" t="s">
        <v>232</v>
      </c>
      <c r="P121" s="30" t="n">
        <f aca="false">INDEX(راهنما!$C$29:$C$38,MATCH($P$117,راهنما!$B$29:$B$38,0))</f>
        <v>0</v>
      </c>
    </row>
    <row r="122" customFormat="false" ht="15" hidden="false" customHeight="false" outlineLevel="0" collapsed="false">
      <c r="O122" s="48" t="s">
        <v>50</v>
      </c>
      <c r="P122" s="41" t="n">
        <f aca="false">IF(ISNUMBER(P120),IF(P121=0,0,MAX(0,P120)/P121),"")</f>
        <v>0</v>
      </c>
    </row>
    <row r="123" customFormat="false" ht="15" hidden="false" customHeight="false" outlineLevel="0" collapsed="false">
      <c r="O123" s="48" t="s">
        <v>83</v>
      </c>
      <c r="P123" s="10" t="str">
        <f aca="false">IF(NOT($P$118=$P$117*($P$117-1)/2),"ناقص",IF(P122&lt;=$P$3,"سازگار","ناسازگار"))</f>
        <v>سازگار</v>
      </c>
    </row>
    <row r="124" customFormat="false" ht="15" hidden="false" customHeight="false" outlineLevel="0" collapsed="false">
      <c r="O124" s="48" t="s">
        <v>233</v>
      </c>
      <c r="P124" s="30" t="n">
        <f aca="false">IF(COUNT(AA117:AA118)=0,"",MAX(AA117:AA118))</f>
        <v>1</v>
      </c>
    </row>
    <row r="125" customFormat="false" ht="15" hidden="false" customHeight="false" outlineLevel="0" collapsed="false">
      <c r="O125" s="48" t="s">
        <v>234</v>
      </c>
      <c r="P125" s="19" t="str">
        <f aca="false">IF(ISNUMBER(P124),INDEX(A117:A118,MATCH(P124,AA117:AA118,0))&amp;" و "&amp;INDEX(C116:D116,MATCH(P124,INDEX(R117:S118,MATCH(P124,AA117:AA118,0),0),0)),"")</f>
        <v>گ۲۸ و گ۲۹</v>
      </c>
    </row>
  </sheetData>
  <sheetProtection sheet="true" formatColumns="false" formatRows="false"/>
  <mergeCells count="20">
    <mergeCell ref="A5:M5"/>
    <mergeCell ref="Q5:AA5"/>
    <mergeCell ref="A19:M19"/>
    <mergeCell ref="Q19:AA19"/>
    <mergeCell ref="A31:M31"/>
    <mergeCell ref="Q31:AA31"/>
    <mergeCell ref="A43:M43"/>
    <mergeCell ref="Q43:AA43"/>
    <mergeCell ref="A55:M55"/>
    <mergeCell ref="Q55:AA55"/>
    <mergeCell ref="A67:M67"/>
    <mergeCell ref="Q67:AA67"/>
    <mergeCell ref="A79:M79"/>
    <mergeCell ref="Q79:AA79"/>
    <mergeCell ref="A91:M91"/>
    <mergeCell ref="Q91:AA91"/>
    <mergeCell ref="A103:M103"/>
    <mergeCell ref="Q103:AA103"/>
    <mergeCell ref="A115:M115"/>
    <mergeCell ref="Q115:AA115"/>
  </mergeCells>
  <conditionalFormatting sqref="P12">
    <cfRule type="expression" priority="2" aboveAverage="0" equalAverage="0" bottom="0" percent="0" rank="0" text="" dxfId="0">
      <formula>AND(ISNUMBER(P12),P12&gt;$P$3)</formula>
    </cfRule>
    <cfRule type="expression" priority="3" aboveAverage="0" equalAverage="0" bottom="0" percent="0" rank="0" text="" dxfId="1">
      <formula>AND(ISNUMBER(P12),P12&lt;=$P$3)</formula>
    </cfRule>
  </conditionalFormatting>
  <conditionalFormatting sqref="P13">
    <cfRule type="cellIs" priority="4" operator="equal" aboveAverage="0" equalAverage="0" bottom="0" percent="0" rank="0" text="" dxfId="0">
      <formula>"ناسازگار"</formula>
    </cfRule>
    <cfRule type="cellIs" priority="5" operator="equal" aboveAverage="0" equalAverage="0" bottom="0" percent="0" rank="0" text="" dxfId="1">
      <formula>"سازگار"</formula>
    </cfRule>
    <cfRule type="cellIs" priority="6" operator="equal" aboveAverage="0" equalAverage="0" bottom="0" percent="0" rank="0" text="" dxfId="2">
      <formula>"ناقص"</formula>
    </cfRule>
  </conditionalFormatting>
  <conditionalFormatting sqref="P14:P15">
    <cfRule type="expression" priority="7" aboveAverage="0" equalAverage="0" bottom="0" percent="0" rank="0" text="" dxfId="0">
      <formula>AND(ISNUMBER($P$12),$P$12&gt;$P$3)</formula>
    </cfRule>
  </conditionalFormatting>
  <conditionalFormatting sqref="R7:Z15">
    <cfRule type="expression" priority="8" aboveAverage="0" equalAverage="0" bottom="0" percent="0" rank="0" text="" dxfId="0">
      <formula>AND(ISNUMBER(R7),R7=MAX($R$7:$Z$15),ISNUMBER($P$12),$P$12&gt;$P$3)</formula>
    </cfRule>
  </conditionalFormatting>
  <conditionalFormatting sqref="P26">
    <cfRule type="expression" priority="9" aboveAverage="0" equalAverage="0" bottom="0" percent="0" rank="0" text="" dxfId="0">
      <formula>AND(ISNUMBER(P26),P26&gt;$P$3)</formula>
    </cfRule>
    <cfRule type="expression" priority="10" aboveAverage="0" equalAverage="0" bottom="0" percent="0" rank="0" text="" dxfId="1">
      <formula>AND(ISNUMBER(P26),P26&lt;=$P$3)</formula>
    </cfRule>
  </conditionalFormatting>
  <conditionalFormatting sqref="P27">
    <cfRule type="cellIs" priority="11" operator="equal" aboveAverage="0" equalAverage="0" bottom="0" percent="0" rank="0" text="" dxfId="0">
      <formula>"ناسازگار"</formula>
    </cfRule>
    <cfRule type="cellIs" priority="12" operator="equal" aboveAverage="0" equalAverage="0" bottom="0" percent="0" rank="0" text="" dxfId="1">
      <formula>"سازگار"</formula>
    </cfRule>
    <cfRule type="cellIs" priority="13" operator="equal" aboveAverage="0" equalAverage="0" bottom="0" percent="0" rank="0" text="" dxfId="2">
      <formula>"ناقص"</formula>
    </cfRule>
  </conditionalFormatting>
  <conditionalFormatting sqref="P28:P29">
    <cfRule type="expression" priority="14" aboveAverage="0" equalAverage="0" bottom="0" percent="0" rank="0" text="" dxfId="0">
      <formula>AND(ISNUMBER($P$26),$P$26&gt;$P$3)</formula>
    </cfRule>
  </conditionalFormatting>
  <conditionalFormatting sqref="R21:T23">
    <cfRule type="expression" priority="15" aboveAverage="0" equalAverage="0" bottom="0" percent="0" rank="0" text="" dxfId="0">
      <formula>AND(ISNUMBER(R21),R21=MAX($R$21:$T$23),ISNUMBER($P$26),$P$26&gt;$P$3)</formula>
    </cfRule>
  </conditionalFormatting>
  <conditionalFormatting sqref="P38">
    <cfRule type="expression" priority="16" aboveAverage="0" equalAverage="0" bottom="0" percent="0" rank="0" text="" dxfId="0">
      <formula>AND(ISNUMBER(P38),P38&gt;$P$3)</formula>
    </cfRule>
    <cfRule type="expression" priority="17" aboveAverage="0" equalAverage="0" bottom="0" percent="0" rank="0" text="" dxfId="1">
      <formula>AND(ISNUMBER(P38),P38&lt;=$P$3)</formula>
    </cfRule>
  </conditionalFormatting>
  <conditionalFormatting sqref="P39">
    <cfRule type="cellIs" priority="18" operator="equal" aboveAverage="0" equalAverage="0" bottom="0" percent="0" rank="0" text="" dxfId="0">
      <formula>"ناسازگار"</formula>
    </cfRule>
    <cfRule type="cellIs" priority="19" operator="equal" aboveAverage="0" equalAverage="0" bottom="0" percent="0" rank="0" text="" dxfId="1">
      <formula>"سازگار"</formula>
    </cfRule>
    <cfRule type="cellIs" priority="20" operator="equal" aboveAverage="0" equalAverage="0" bottom="0" percent="0" rank="0" text="" dxfId="2">
      <formula>"ناقص"</formula>
    </cfRule>
  </conditionalFormatting>
  <conditionalFormatting sqref="P40:P41">
    <cfRule type="expression" priority="21" aboveAverage="0" equalAverage="0" bottom="0" percent="0" rank="0" text="" dxfId="0">
      <formula>AND(ISNUMBER($P$38),$P$38&gt;$P$3)</formula>
    </cfRule>
  </conditionalFormatting>
  <conditionalFormatting sqref="R33:U36">
    <cfRule type="expression" priority="22" aboveAverage="0" equalAverage="0" bottom="0" percent="0" rank="0" text="" dxfId="0">
      <formula>AND(ISNUMBER(R33),R33=MAX($R$33:$U$36),ISNUMBER($P$38),$P$38&gt;$P$3)</formula>
    </cfRule>
  </conditionalFormatting>
  <conditionalFormatting sqref="P50">
    <cfRule type="expression" priority="23" aboveAverage="0" equalAverage="0" bottom="0" percent="0" rank="0" text="" dxfId="0">
      <formula>AND(ISNUMBER(P50),P50&gt;$P$3)</formula>
    </cfRule>
    <cfRule type="expression" priority="24" aboveAverage="0" equalAverage="0" bottom="0" percent="0" rank="0" text="" dxfId="1">
      <formula>AND(ISNUMBER(P50),P50&lt;=$P$3)</formula>
    </cfRule>
  </conditionalFormatting>
  <conditionalFormatting sqref="P51">
    <cfRule type="cellIs" priority="25" operator="equal" aboveAverage="0" equalAverage="0" bottom="0" percent="0" rank="0" text="" dxfId="0">
      <formula>"ناسازگار"</formula>
    </cfRule>
    <cfRule type="cellIs" priority="26" operator="equal" aboveAverage="0" equalAverage="0" bottom="0" percent="0" rank="0" text="" dxfId="1">
      <formula>"سازگار"</formula>
    </cfRule>
    <cfRule type="cellIs" priority="27" operator="equal" aboveAverage="0" equalAverage="0" bottom="0" percent="0" rank="0" text="" dxfId="2">
      <formula>"ناقص"</formula>
    </cfRule>
  </conditionalFormatting>
  <conditionalFormatting sqref="P52:P53">
    <cfRule type="expression" priority="28" aboveAverage="0" equalAverage="0" bottom="0" percent="0" rank="0" text="" dxfId="0">
      <formula>AND(ISNUMBER($P$50),$P$50&gt;$P$3)</formula>
    </cfRule>
  </conditionalFormatting>
  <conditionalFormatting sqref="R45:T47">
    <cfRule type="expression" priority="29" aboveAverage="0" equalAverage="0" bottom="0" percent="0" rank="0" text="" dxfId="0">
      <formula>AND(ISNUMBER(R45),R45=MAX($R$45:$T$47),ISNUMBER($P$50),$P$50&gt;$P$3)</formula>
    </cfRule>
  </conditionalFormatting>
  <conditionalFormatting sqref="P62">
    <cfRule type="expression" priority="30" aboveAverage="0" equalAverage="0" bottom="0" percent="0" rank="0" text="" dxfId="0">
      <formula>AND(ISNUMBER(P62),P62&gt;$P$3)</formula>
    </cfRule>
    <cfRule type="expression" priority="31" aboveAverage="0" equalAverage="0" bottom="0" percent="0" rank="0" text="" dxfId="1">
      <formula>AND(ISNUMBER(P62),P62&lt;=$P$3)</formula>
    </cfRule>
  </conditionalFormatting>
  <conditionalFormatting sqref="P63">
    <cfRule type="cellIs" priority="32" operator="equal" aboveAverage="0" equalAverage="0" bottom="0" percent="0" rank="0" text="" dxfId="0">
      <formula>"ناسازگار"</formula>
    </cfRule>
    <cfRule type="cellIs" priority="33" operator="equal" aboveAverage="0" equalAverage="0" bottom="0" percent="0" rank="0" text="" dxfId="1">
      <formula>"سازگار"</formula>
    </cfRule>
    <cfRule type="cellIs" priority="34" operator="equal" aboveAverage="0" equalAverage="0" bottom="0" percent="0" rank="0" text="" dxfId="2">
      <formula>"ناقص"</formula>
    </cfRule>
  </conditionalFormatting>
  <conditionalFormatting sqref="P64:P65">
    <cfRule type="expression" priority="35" aboveAverage="0" equalAverage="0" bottom="0" percent="0" rank="0" text="" dxfId="0">
      <formula>AND(ISNUMBER($P$62),$P$62&gt;$P$3)</formula>
    </cfRule>
  </conditionalFormatting>
  <conditionalFormatting sqref="R57:U60">
    <cfRule type="expression" priority="36" aboveAverage="0" equalAverage="0" bottom="0" percent="0" rank="0" text="" dxfId="0">
      <formula>AND(ISNUMBER(R57),R57=MAX($R$57:$U$60),ISNUMBER($P$62),$P$62&gt;$P$3)</formula>
    </cfRule>
  </conditionalFormatting>
  <conditionalFormatting sqref="P74">
    <cfRule type="expression" priority="37" aboveAverage="0" equalAverage="0" bottom="0" percent="0" rank="0" text="" dxfId="0">
      <formula>AND(ISNUMBER(P74),P74&gt;$P$3)</formula>
    </cfRule>
    <cfRule type="expression" priority="38" aboveAverage="0" equalAverage="0" bottom="0" percent="0" rank="0" text="" dxfId="1">
      <formula>AND(ISNUMBER(P74),P74&lt;=$P$3)</formula>
    </cfRule>
  </conditionalFormatting>
  <conditionalFormatting sqref="P75">
    <cfRule type="cellIs" priority="39" operator="equal" aboveAverage="0" equalAverage="0" bottom="0" percent="0" rank="0" text="" dxfId="0">
      <formula>"ناسازگار"</formula>
    </cfRule>
    <cfRule type="cellIs" priority="40" operator="equal" aboveAverage="0" equalAverage="0" bottom="0" percent="0" rank="0" text="" dxfId="1">
      <formula>"سازگار"</formula>
    </cfRule>
    <cfRule type="cellIs" priority="41" operator="equal" aboveAverage="0" equalAverage="0" bottom="0" percent="0" rank="0" text="" dxfId="2">
      <formula>"ناقص"</formula>
    </cfRule>
  </conditionalFormatting>
  <conditionalFormatting sqref="P76:P77">
    <cfRule type="expression" priority="42" aboveAverage="0" equalAverage="0" bottom="0" percent="0" rank="0" text="" dxfId="0">
      <formula>AND(ISNUMBER($P$74),$P$74&gt;$P$3)</formula>
    </cfRule>
  </conditionalFormatting>
  <conditionalFormatting sqref="R69:U72">
    <cfRule type="expression" priority="43" aboveAverage="0" equalAverage="0" bottom="0" percent="0" rank="0" text="" dxfId="0">
      <formula>AND(ISNUMBER(R69),R69=MAX($R$69:$U$72),ISNUMBER($P$74),$P$74&gt;$P$3)</formula>
    </cfRule>
  </conditionalFormatting>
  <conditionalFormatting sqref="P86">
    <cfRule type="expression" priority="44" aboveAverage="0" equalAverage="0" bottom="0" percent="0" rank="0" text="" dxfId="0">
      <formula>AND(ISNUMBER(P86),P86&gt;$P$3)</formula>
    </cfRule>
    <cfRule type="expression" priority="45" aboveAverage="0" equalAverage="0" bottom="0" percent="0" rank="0" text="" dxfId="1">
      <formula>AND(ISNUMBER(P86),P86&lt;=$P$3)</formula>
    </cfRule>
  </conditionalFormatting>
  <conditionalFormatting sqref="P87">
    <cfRule type="cellIs" priority="46" operator="equal" aboveAverage="0" equalAverage="0" bottom="0" percent="0" rank="0" text="" dxfId="0">
      <formula>"ناسازگار"</formula>
    </cfRule>
    <cfRule type="cellIs" priority="47" operator="equal" aboveAverage="0" equalAverage="0" bottom="0" percent="0" rank="0" text="" dxfId="1">
      <formula>"سازگار"</formula>
    </cfRule>
    <cfRule type="cellIs" priority="48" operator="equal" aboveAverage="0" equalAverage="0" bottom="0" percent="0" rank="0" text="" dxfId="2">
      <formula>"ناقص"</formula>
    </cfRule>
  </conditionalFormatting>
  <conditionalFormatting sqref="P88:P89">
    <cfRule type="expression" priority="49" aboveAverage="0" equalAverage="0" bottom="0" percent="0" rank="0" text="" dxfId="0">
      <formula>AND(ISNUMBER($P$86),$P$86&gt;$P$3)</formula>
    </cfRule>
  </conditionalFormatting>
  <conditionalFormatting sqref="R81:T83">
    <cfRule type="expression" priority="50" aboveAverage="0" equalAverage="0" bottom="0" percent="0" rank="0" text="" dxfId="0">
      <formula>AND(ISNUMBER(R81),R81=MAX($R$81:$T$83),ISNUMBER($P$86),$P$86&gt;$P$3)</formula>
    </cfRule>
  </conditionalFormatting>
  <conditionalFormatting sqref="P98">
    <cfRule type="expression" priority="51" aboveAverage="0" equalAverage="0" bottom="0" percent="0" rank="0" text="" dxfId="0">
      <formula>AND(ISNUMBER(P98),P98&gt;$P$3)</formula>
    </cfRule>
    <cfRule type="expression" priority="52" aboveAverage="0" equalAverage="0" bottom="0" percent="0" rank="0" text="" dxfId="1">
      <formula>AND(ISNUMBER(P98),P98&lt;=$P$3)</formula>
    </cfRule>
  </conditionalFormatting>
  <conditionalFormatting sqref="P99">
    <cfRule type="cellIs" priority="53" operator="equal" aboveAverage="0" equalAverage="0" bottom="0" percent="0" rank="0" text="" dxfId="0">
      <formula>"ناسازگار"</formula>
    </cfRule>
    <cfRule type="cellIs" priority="54" operator="equal" aboveAverage="0" equalAverage="0" bottom="0" percent="0" rank="0" text="" dxfId="1">
      <formula>"سازگار"</formula>
    </cfRule>
    <cfRule type="cellIs" priority="55" operator="equal" aboveAverage="0" equalAverage="0" bottom="0" percent="0" rank="0" text="" dxfId="2">
      <formula>"ناقص"</formula>
    </cfRule>
  </conditionalFormatting>
  <conditionalFormatting sqref="P100:P101">
    <cfRule type="expression" priority="56" aboveAverage="0" equalAverage="0" bottom="0" percent="0" rank="0" text="" dxfId="0">
      <formula>AND(ISNUMBER($P$98),$P$98&gt;$P$3)</formula>
    </cfRule>
  </conditionalFormatting>
  <conditionalFormatting sqref="R93:T95">
    <cfRule type="expression" priority="57" aboveAverage="0" equalAverage="0" bottom="0" percent="0" rank="0" text="" dxfId="0">
      <formula>AND(ISNUMBER(R93),R93=MAX($R$93:$T$95),ISNUMBER($P$98),$P$98&gt;$P$3)</formula>
    </cfRule>
  </conditionalFormatting>
  <conditionalFormatting sqref="P110">
    <cfRule type="expression" priority="58" aboveAverage="0" equalAverage="0" bottom="0" percent="0" rank="0" text="" dxfId="0">
      <formula>AND(ISNUMBER(P110),P110&gt;$P$3)</formula>
    </cfRule>
    <cfRule type="expression" priority="59" aboveAverage="0" equalAverage="0" bottom="0" percent="0" rank="0" text="" dxfId="1">
      <formula>AND(ISNUMBER(P110),P110&lt;=$P$3)</formula>
    </cfRule>
  </conditionalFormatting>
  <conditionalFormatting sqref="P111">
    <cfRule type="cellIs" priority="60" operator="equal" aboveAverage="0" equalAverage="0" bottom="0" percent="0" rank="0" text="" dxfId="0">
      <formula>"ناسازگار"</formula>
    </cfRule>
    <cfRule type="cellIs" priority="61" operator="equal" aboveAverage="0" equalAverage="0" bottom="0" percent="0" rank="0" text="" dxfId="1">
      <formula>"سازگار"</formula>
    </cfRule>
    <cfRule type="cellIs" priority="62" operator="equal" aboveAverage="0" equalAverage="0" bottom="0" percent="0" rank="0" text="" dxfId="2">
      <formula>"ناقص"</formula>
    </cfRule>
  </conditionalFormatting>
  <conditionalFormatting sqref="P112:P113">
    <cfRule type="expression" priority="63" aboveAverage="0" equalAverage="0" bottom="0" percent="0" rank="0" text="" dxfId="0">
      <formula>AND(ISNUMBER($P$110),$P$110&gt;$P$3)</formula>
    </cfRule>
  </conditionalFormatting>
  <conditionalFormatting sqref="R105:T107">
    <cfRule type="expression" priority="64" aboveAverage="0" equalAverage="0" bottom="0" percent="0" rank="0" text="" dxfId="0">
      <formula>AND(ISNUMBER(R105),R105=MAX($R$105:$T$107),ISNUMBER($P$110),$P$110&gt;$P$3)</formula>
    </cfRule>
  </conditionalFormatting>
  <conditionalFormatting sqref="P122">
    <cfRule type="expression" priority="65" aboveAverage="0" equalAverage="0" bottom="0" percent="0" rank="0" text="" dxfId="0">
      <formula>AND(ISNUMBER(P122),P122&gt;$P$3)</formula>
    </cfRule>
    <cfRule type="expression" priority="66" aboveAverage="0" equalAverage="0" bottom="0" percent="0" rank="0" text="" dxfId="1">
      <formula>AND(ISNUMBER(P122),P122&lt;=$P$3)</formula>
    </cfRule>
  </conditionalFormatting>
  <conditionalFormatting sqref="P123">
    <cfRule type="cellIs" priority="67" operator="equal" aboveAverage="0" equalAverage="0" bottom="0" percent="0" rank="0" text="" dxfId="0">
      <formula>"ناسازگار"</formula>
    </cfRule>
    <cfRule type="cellIs" priority="68" operator="equal" aboveAverage="0" equalAverage="0" bottom="0" percent="0" rank="0" text="" dxfId="1">
      <formula>"سازگار"</formula>
    </cfRule>
    <cfRule type="cellIs" priority="69" operator="equal" aboveAverage="0" equalAverage="0" bottom="0" percent="0" rank="0" text="" dxfId="2">
      <formula>"ناقص"</formula>
    </cfRule>
  </conditionalFormatting>
  <conditionalFormatting sqref="P124:P125">
    <cfRule type="expression" priority="70" aboveAverage="0" equalAverage="0" bottom="0" percent="0" rank="0" text="" dxfId="0">
      <formula>AND(ISNUMBER($P$122),$P$122&gt;$P$3)</formula>
    </cfRule>
  </conditionalFormatting>
  <conditionalFormatting sqref="R117:S118">
    <cfRule type="expression" priority="71" aboveAverage="0" equalAverage="0" bottom="0" percent="0" rank="0" text="" dxfId="0">
      <formula>AND(ISNUMBER(R117),R117=MAX($R$117:$S$118),ISNUMBER($P$122),$P$122&gt;$P$3)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10"/>
    <col collapsed="false" customWidth="true" hidden="false" outlineLevel="0" max="10" min="4" style="0" width="7.5"/>
    <col collapsed="false" customWidth="true" hidden="false" outlineLevel="0" max="11" min="11" style="0" width="11"/>
    <col collapsed="false" customWidth="true" hidden="false" outlineLevel="0" max="12" min="12" style="0" width="12"/>
    <col collapsed="false" customWidth="true" hidden="false" outlineLevel="0" max="13" min="13" style="0" width="9"/>
  </cols>
  <sheetData>
    <row r="1" customFormat="false" ht="25.5" hidden="false" customHeight="true" outlineLevel="0" collapsed="false">
      <c r="A1" s="1" t="s">
        <v>261</v>
      </c>
      <c r="B1" s="2"/>
      <c r="C1" s="2"/>
      <c r="D1" s="2"/>
      <c r="E1" s="2"/>
      <c r="F1" s="2"/>
      <c r="G1" s="2"/>
      <c r="H1" s="2"/>
      <c r="I1" s="2"/>
      <c r="J1" s="2"/>
      <c r="K1" s="2"/>
      <c r="L1" s="2"/>
      <c r="M1" s="2"/>
    </row>
    <row r="2" customFormat="false" ht="46.5" hidden="false" customHeight="true" outlineLevel="0" collapsed="false">
      <c r="A2" s="6" t="s">
        <v>262</v>
      </c>
      <c r="B2" s="6"/>
      <c r="C2" s="6"/>
      <c r="D2" s="6"/>
      <c r="E2" s="6"/>
      <c r="F2" s="6"/>
      <c r="G2" s="6"/>
      <c r="H2" s="6"/>
      <c r="I2" s="6"/>
      <c r="J2" s="6"/>
      <c r="K2" s="6"/>
      <c r="L2" s="6"/>
      <c r="M2" s="6"/>
    </row>
    <row r="4" customFormat="false" ht="15" hidden="false" customHeight="false" outlineLevel="0" collapsed="false">
      <c r="A4" s="27" t="s">
        <v>199</v>
      </c>
      <c r="B4" s="27" t="s">
        <v>211</v>
      </c>
      <c r="C4" s="27" t="s">
        <v>200</v>
      </c>
      <c r="D4" s="27" t="s">
        <v>90</v>
      </c>
      <c r="E4" s="27" t="s">
        <v>28</v>
      </c>
      <c r="F4" s="27" t="s">
        <v>91</v>
      </c>
      <c r="G4" s="27" t="s">
        <v>92</v>
      </c>
      <c r="H4" s="27" t="s">
        <v>93</v>
      </c>
      <c r="I4" s="27" t="s">
        <v>94</v>
      </c>
      <c r="J4" s="27" t="s">
        <v>95</v>
      </c>
      <c r="K4" s="27" t="s">
        <v>263</v>
      </c>
      <c r="L4" s="27" t="s">
        <v>227</v>
      </c>
      <c r="M4" s="27" t="s">
        <v>202</v>
      </c>
    </row>
    <row r="5" customFormat="false" ht="27" hidden="false" customHeight="true" outlineLevel="0" collapsed="false">
      <c r="A5" s="19" t="s">
        <v>117</v>
      </c>
      <c r="B5" s="9" t="s">
        <v>118</v>
      </c>
      <c r="C5" s="12" t="s">
        <v>98</v>
      </c>
      <c r="D5" s="55" t="n">
        <v>5</v>
      </c>
      <c r="E5" s="55" t="n">
        <v>5</v>
      </c>
      <c r="F5" s="55" t="n">
        <v>5</v>
      </c>
      <c r="G5" s="55" t="n">
        <v>4</v>
      </c>
      <c r="H5" s="55" t="n">
        <v>4</v>
      </c>
      <c r="I5" s="55" t="n">
        <v>4</v>
      </c>
      <c r="J5" s="55" t="n">
        <v>4</v>
      </c>
      <c r="K5" s="30" t="n">
        <f aca="false">AVERAGE(D5:J5)</f>
        <v>4.42857142857143</v>
      </c>
      <c r="L5" s="36" t="n">
        <f aca="false">K5/SUM($K$5:$K$33)</f>
        <v>0.0375302663438257</v>
      </c>
      <c r="M5" s="11" t="n">
        <f aca="false">RANK(L5,$L$5:$L$33)</f>
        <v>6</v>
      </c>
    </row>
    <row r="6" customFormat="false" ht="27" hidden="false" customHeight="true" outlineLevel="0" collapsed="false">
      <c r="A6" s="19" t="s">
        <v>119</v>
      </c>
      <c r="B6" s="9" t="s">
        <v>120</v>
      </c>
      <c r="C6" s="12" t="s">
        <v>98</v>
      </c>
      <c r="D6" s="55" t="n">
        <v>4</v>
      </c>
      <c r="E6" s="55" t="n">
        <v>5</v>
      </c>
      <c r="F6" s="55" t="n">
        <v>5</v>
      </c>
      <c r="G6" s="55" t="n">
        <v>5</v>
      </c>
      <c r="H6" s="55" t="n">
        <v>4</v>
      </c>
      <c r="I6" s="55" t="n">
        <v>4</v>
      </c>
      <c r="J6" s="55" t="n">
        <v>4</v>
      </c>
      <c r="K6" s="30" t="n">
        <f aca="false">AVERAGE(D6:J6)</f>
        <v>4.42857142857143</v>
      </c>
      <c r="L6" s="36" t="n">
        <f aca="false">K6/SUM($K$5:$K$33)</f>
        <v>0.0375302663438257</v>
      </c>
      <c r="M6" s="11" t="n">
        <f aca="false">RANK(L6,$L$5:$L$33)</f>
        <v>6</v>
      </c>
    </row>
    <row r="7" customFormat="false" ht="27" hidden="false" customHeight="true" outlineLevel="0" collapsed="false">
      <c r="A7" s="19" t="s">
        <v>121</v>
      </c>
      <c r="B7" s="9" t="s">
        <v>122</v>
      </c>
      <c r="C7" s="12" t="s">
        <v>98</v>
      </c>
      <c r="D7" s="55" t="n">
        <v>4</v>
      </c>
      <c r="E7" s="55" t="n">
        <v>4</v>
      </c>
      <c r="F7" s="55" t="n">
        <v>4</v>
      </c>
      <c r="G7" s="55" t="n">
        <v>4</v>
      </c>
      <c r="H7" s="55" t="n">
        <v>4</v>
      </c>
      <c r="I7" s="55" t="n">
        <v>4</v>
      </c>
      <c r="J7" s="55" t="n">
        <v>4</v>
      </c>
      <c r="K7" s="30" t="n">
        <f aca="false">AVERAGE(D7:J7)</f>
        <v>4</v>
      </c>
      <c r="L7" s="36" t="n">
        <f aca="false">K7/SUM($K$5:$K$33)</f>
        <v>0.0338983050847458</v>
      </c>
      <c r="M7" s="11" t="n">
        <f aca="false">RANK(L7,$L$5:$L$33)</f>
        <v>9</v>
      </c>
    </row>
    <row r="8" customFormat="false" ht="27" hidden="false" customHeight="true" outlineLevel="0" collapsed="false">
      <c r="A8" s="19" t="s">
        <v>123</v>
      </c>
      <c r="B8" s="9" t="s">
        <v>124</v>
      </c>
      <c r="C8" s="12" t="s">
        <v>100</v>
      </c>
      <c r="D8" s="55" t="n">
        <v>4</v>
      </c>
      <c r="E8" s="55" t="n">
        <v>4</v>
      </c>
      <c r="F8" s="55" t="n">
        <v>4</v>
      </c>
      <c r="G8" s="55" t="n">
        <v>4</v>
      </c>
      <c r="H8" s="55" t="n">
        <v>4</v>
      </c>
      <c r="I8" s="55" t="n">
        <v>4</v>
      </c>
      <c r="J8" s="55" t="n">
        <v>4</v>
      </c>
      <c r="K8" s="30" t="n">
        <f aca="false">AVERAGE(D8:J8)</f>
        <v>4</v>
      </c>
      <c r="L8" s="36" t="n">
        <f aca="false">K8/SUM($K$5:$K$33)</f>
        <v>0.0338983050847458</v>
      </c>
      <c r="M8" s="11" t="n">
        <f aca="false">RANK(L8,$L$5:$L$33)</f>
        <v>9</v>
      </c>
    </row>
    <row r="9" customFormat="false" ht="27" hidden="false" customHeight="true" outlineLevel="0" collapsed="false">
      <c r="A9" s="19" t="s">
        <v>125</v>
      </c>
      <c r="B9" s="9" t="s">
        <v>126</v>
      </c>
      <c r="C9" s="12" t="s">
        <v>100</v>
      </c>
      <c r="D9" s="55" t="n">
        <v>4</v>
      </c>
      <c r="E9" s="55" t="n">
        <v>4</v>
      </c>
      <c r="F9" s="55" t="n">
        <v>4</v>
      </c>
      <c r="G9" s="55" t="n">
        <v>4</v>
      </c>
      <c r="H9" s="55" t="n">
        <v>4</v>
      </c>
      <c r="I9" s="55" t="n">
        <v>4</v>
      </c>
      <c r="J9" s="55" t="n">
        <v>4</v>
      </c>
      <c r="K9" s="30" t="n">
        <f aca="false">AVERAGE(D9:J9)</f>
        <v>4</v>
      </c>
      <c r="L9" s="36" t="n">
        <f aca="false">K9/SUM($K$5:$K$33)</f>
        <v>0.0338983050847458</v>
      </c>
      <c r="M9" s="11" t="n">
        <f aca="false">RANK(L9,$L$5:$L$33)</f>
        <v>9</v>
      </c>
    </row>
    <row r="10" customFormat="false" ht="27" hidden="false" customHeight="true" outlineLevel="0" collapsed="false">
      <c r="A10" s="19" t="s">
        <v>127</v>
      </c>
      <c r="B10" s="9" t="s">
        <v>128</v>
      </c>
      <c r="C10" s="12" t="s">
        <v>100</v>
      </c>
      <c r="D10" s="55" t="n">
        <v>3</v>
      </c>
      <c r="E10" s="55" t="n">
        <v>3</v>
      </c>
      <c r="F10" s="55" t="n">
        <v>3</v>
      </c>
      <c r="G10" s="55" t="n">
        <v>3</v>
      </c>
      <c r="H10" s="55" t="n">
        <v>4</v>
      </c>
      <c r="I10" s="55" t="n">
        <v>3</v>
      </c>
      <c r="J10" s="55" t="n">
        <v>3</v>
      </c>
      <c r="K10" s="30" t="n">
        <f aca="false">AVERAGE(D10:J10)</f>
        <v>3.14285714285714</v>
      </c>
      <c r="L10" s="36" t="n">
        <f aca="false">K10/SUM($K$5:$K$33)</f>
        <v>0.026634382566586</v>
      </c>
      <c r="M10" s="11" t="n">
        <f aca="false">RANK(L10,$L$5:$L$33)</f>
        <v>27</v>
      </c>
    </row>
    <row r="11" customFormat="false" ht="27" hidden="false" customHeight="true" outlineLevel="0" collapsed="false">
      <c r="A11" s="19" t="s">
        <v>129</v>
      </c>
      <c r="B11" s="9" t="s">
        <v>130</v>
      </c>
      <c r="C11" s="12" t="s">
        <v>100</v>
      </c>
      <c r="D11" s="55" t="n">
        <v>3</v>
      </c>
      <c r="E11" s="55" t="n">
        <v>4</v>
      </c>
      <c r="F11" s="55" t="n">
        <v>3</v>
      </c>
      <c r="G11" s="55" t="n">
        <v>3</v>
      </c>
      <c r="H11" s="55" t="n">
        <v>3</v>
      </c>
      <c r="I11" s="55" t="n">
        <v>3</v>
      </c>
      <c r="J11" s="55" t="n">
        <v>3</v>
      </c>
      <c r="K11" s="30" t="n">
        <f aca="false">AVERAGE(D11:J11)</f>
        <v>3.14285714285714</v>
      </c>
      <c r="L11" s="36" t="n">
        <f aca="false">K11/SUM($K$5:$K$33)</f>
        <v>0.026634382566586</v>
      </c>
      <c r="M11" s="11" t="n">
        <f aca="false">RANK(L11,$L$5:$L$33)</f>
        <v>27</v>
      </c>
    </row>
    <row r="12" customFormat="false" ht="27" hidden="false" customHeight="true" outlineLevel="0" collapsed="false">
      <c r="A12" s="19" t="s">
        <v>131</v>
      </c>
      <c r="B12" s="9" t="s">
        <v>132</v>
      </c>
      <c r="C12" s="12" t="s">
        <v>102</v>
      </c>
      <c r="D12" s="55" t="n">
        <v>4</v>
      </c>
      <c r="E12" s="55" t="n">
        <v>4</v>
      </c>
      <c r="F12" s="55" t="n">
        <v>4</v>
      </c>
      <c r="G12" s="55" t="n">
        <v>4</v>
      </c>
      <c r="H12" s="55" t="n">
        <v>4</v>
      </c>
      <c r="I12" s="55" t="n">
        <v>4</v>
      </c>
      <c r="J12" s="55" t="n">
        <v>4</v>
      </c>
      <c r="K12" s="30" t="n">
        <f aca="false">AVERAGE(D12:J12)</f>
        <v>4</v>
      </c>
      <c r="L12" s="36" t="n">
        <f aca="false">K12/SUM($K$5:$K$33)</f>
        <v>0.0338983050847458</v>
      </c>
      <c r="M12" s="11" t="n">
        <f aca="false">RANK(L12,$L$5:$L$33)</f>
        <v>9</v>
      </c>
    </row>
    <row r="13" customFormat="false" ht="27" hidden="false" customHeight="true" outlineLevel="0" collapsed="false">
      <c r="A13" s="19" t="s">
        <v>133</v>
      </c>
      <c r="B13" s="9" t="s">
        <v>134</v>
      </c>
      <c r="C13" s="12" t="s">
        <v>102</v>
      </c>
      <c r="D13" s="55" t="n">
        <v>4</v>
      </c>
      <c r="E13" s="55" t="n">
        <v>4</v>
      </c>
      <c r="F13" s="55" t="n">
        <v>4</v>
      </c>
      <c r="G13" s="55" t="n">
        <v>4</v>
      </c>
      <c r="H13" s="55" t="n">
        <v>4</v>
      </c>
      <c r="I13" s="55" t="n">
        <v>4</v>
      </c>
      <c r="J13" s="55" t="n">
        <v>4</v>
      </c>
      <c r="K13" s="30" t="n">
        <f aca="false">AVERAGE(D13:J13)</f>
        <v>4</v>
      </c>
      <c r="L13" s="36" t="n">
        <f aca="false">K13/SUM($K$5:$K$33)</f>
        <v>0.0338983050847458</v>
      </c>
      <c r="M13" s="11" t="n">
        <f aca="false">RANK(L13,$L$5:$L$33)</f>
        <v>9</v>
      </c>
    </row>
    <row r="14" customFormat="false" ht="27" hidden="false" customHeight="true" outlineLevel="0" collapsed="false">
      <c r="A14" s="19" t="s">
        <v>135</v>
      </c>
      <c r="B14" s="9" t="s">
        <v>136</v>
      </c>
      <c r="C14" s="12" t="s">
        <v>102</v>
      </c>
      <c r="D14" s="55" t="n">
        <v>3</v>
      </c>
      <c r="E14" s="55" t="n">
        <v>4</v>
      </c>
      <c r="F14" s="55" t="n">
        <v>4</v>
      </c>
      <c r="G14" s="55" t="n">
        <v>3</v>
      </c>
      <c r="H14" s="55" t="n">
        <v>4</v>
      </c>
      <c r="I14" s="55" t="n">
        <v>3</v>
      </c>
      <c r="J14" s="55" t="n">
        <v>3</v>
      </c>
      <c r="K14" s="30" t="n">
        <f aca="false">AVERAGE(D14:J14)</f>
        <v>3.42857142857143</v>
      </c>
      <c r="L14" s="36" t="n">
        <f aca="false">K14/SUM($K$5:$K$33)</f>
        <v>0.0290556900726392</v>
      </c>
      <c r="M14" s="11" t="n">
        <f aca="false">RANK(L14,$L$5:$L$33)</f>
        <v>26</v>
      </c>
    </row>
    <row r="15" customFormat="false" ht="27" hidden="false" customHeight="true" outlineLevel="0" collapsed="false">
      <c r="A15" s="19" t="s">
        <v>137</v>
      </c>
      <c r="B15" s="9" t="s">
        <v>138</v>
      </c>
      <c r="C15" s="12" t="s">
        <v>104</v>
      </c>
      <c r="D15" s="55" t="n">
        <v>4</v>
      </c>
      <c r="E15" s="55" t="n">
        <v>4</v>
      </c>
      <c r="F15" s="55" t="n">
        <v>4</v>
      </c>
      <c r="G15" s="55" t="n">
        <v>4</v>
      </c>
      <c r="H15" s="55" t="n">
        <v>4</v>
      </c>
      <c r="I15" s="55" t="n">
        <v>4</v>
      </c>
      <c r="J15" s="55" t="n">
        <v>4</v>
      </c>
      <c r="K15" s="30" t="n">
        <f aca="false">AVERAGE(D15:J15)</f>
        <v>4</v>
      </c>
      <c r="L15" s="36" t="n">
        <f aca="false">K15/SUM($K$5:$K$33)</f>
        <v>0.0338983050847458</v>
      </c>
      <c r="M15" s="11" t="n">
        <f aca="false">RANK(L15,$L$5:$L$33)</f>
        <v>9</v>
      </c>
    </row>
    <row r="16" customFormat="false" ht="27" hidden="false" customHeight="true" outlineLevel="0" collapsed="false">
      <c r="A16" s="19" t="s">
        <v>139</v>
      </c>
      <c r="B16" s="9" t="s">
        <v>140</v>
      </c>
      <c r="C16" s="12" t="s">
        <v>104</v>
      </c>
      <c r="D16" s="55" t="n">
        <v>4</v>
      </c>
      <c r="E16" s="55" t="n">
        <v>4</v>
      </c>
      <c r="F16" s="55" t="n">
        <v>4</v>
      </c>
      <c r="G16" s="55" t="n">
        <v>4</v>
      </c>
      <c r="H16" s="55" t="n">
        <v>4</v>
      </c>
      <c r="I16" s="55" t="n">
        <v>4</v>
      </c>
      <c r="J16" s="55" t="n">
        <v>4</v>
      </c>
      <c r="K16" s="30" t="n">
        <f aca="false">AVERAGE(D16:J16)</f>
        <v>4</v>
      </c>
      <c r="L16" s="36" t="n">
        <f aca="false">K16/SUM($K$5:$K$33)</f>
        <v>0.0338983050847458</v>
      </c>
      <c r="M16" s="11" t="n">
        <f aca="false">RANK(L16,$L$5:$L$33)</f>
        <v>9</v>
      </c>
    </row>
    <row r="17" customFormat="false" ht="27" hidden="false" customHeight="true" outlineLevel="0" collapsed="false">
      <c r="A17" s="19" t="s">
        <v>141</v>
      </c>
      <c r="B17" s="9" t="s">
        <v>142</v>
      </c>
      <c r="C17" s="12" t="s">
        <v>104</v>
      </c>
      <c r="D17" s="55" t="n">
        <v>3</v>
      </c>
      <c r="E17" s="55" t="n">
        <v>3</v>
      </c>
      <c r="F17" s="55" t="n">
        <v>3</v>
      </c>
      <c r="G17" s="55" t="n">
        <v>3</v>
      </c>
      <c r="H17" s="55" t="n">
        <v>3</v>
      </c>
      <c r="I17" s="55" t="n">
        <v>4</v>
      </c>
      <c r="J17" s="55" t="n">
        <v>3</v>
      </c>
      <c r="K17" s="30" t="n">
        <f aca="false">AVERAGE(D17:J17)</f>
        <v>3.14285714285714</v>
      </c>
      <c r="L17" s="36" t="n">
        <f aca="false">K17/SUM($K$5:$K$33)</f>
        <v>0.026634382566586</v>
      </c>
      <c r="M17" s="11" t="n">
        <f aca="false">RANK(L17,$L$5:$L$33)</f>
        <v>27</v>
      </c>
    </row>
    <row r="18" customFormat="false" ht="27" hidden="false" customHeight="true" outlineLevel="0" collapsed="false">
      <c r="A18" s="19" t="s">
        <v>143</v>
      </c>
      <c r="B18" s="9" t="s">
        <v>144</v>
      </c>
      <c r="C18" s="12" t="s">
        <v>104</v>
      </c>
      <c r="D18" s="55" t="n">
        <v>4</v>
      </c>
      <c r="E18" s="55" t="n">
        <v>4</v>
      </c>
      <c r="F18" s="55" t="n">
        <v>4</v>
      </c>
      <c r="G18" s="55" t="n">
        <v>4</v>
      </c>
      <c r="H18" s="55" t="n">
        <v>4</v>
      </c>
      <c r="I18" s="55" t="n">
        <v>4</v>
      </c>
      <c r="J18" s="55" t="n">
        <v>4</v>
      </c>
      <c r="K18" s="30" t="n">
        <f aca="false">AVERAGE(D18:J18)</f>
        <v>4</v>
      </c>
      <c r="L18" s="36" t="n">
        <f aca="false">K18/SUM($K$5:$K$33)</f>
        <v>0.0338983050847458</v>
      </c>
      <c r="M18" s="11" t="n">
        <f aca="false">RANK(L18,$L$5:$L$33)</f>
        <v>9</v>
      </c>
    </row>
    <row r="19" customFormat="false" ht="27" hidden="false" customHeight="true" outlineLevel="0" collapsed="false">
      <c r="A19" s="19" t="s">
        <v>145</v>
      </c>
      <c r="B19" s="9" t="s">
        <v>146</v>
      </c>
      <c r="C19" s="12" t="s">
        <v>106</v>
      </c>
      <c r="D19" s="55" t="n">
        <v>4</v>
      </c>
      <c r="E19" s="55" t="n">
        <v>4</v>
      </c>
      <c r="F19" s="55" t="n">
        <v>5</v>
      </c>
      <c r="G19" s="55" t="n">
        <v>4</v>
      </c>
      <c r="H19" s="55" t="n">
        <v>5</v>
      </c>
      <c r="I19" s="55" t="n">
        <v>4</v>
      </c>
      <c r="J19" s="55" t="n">
        <v>5</v>
      </c>
      <c r="K19" s="30" t="n">
        <f aca="false">AVERAGE(D19:J19)</f>
        <v>4.42857142857143</v>
      </c>
      <c r="L19" s="36" t="n">
        <f aca="false">K19/SUM($K$5:$K$33)</f>
        <v>0.0375302663438257</v>
      </c>
      <c r="M19" s="11" t="n">
        <f aca="false">RANK(L19,$L$5:$L$33)</f>
        <v>6</v>
      </c>
    </row>
    <row r="20" customFormat="false" ht="27" hidden="false" customHeight="true" outlineLevel="0" collapsed="false">
      <c r="A20" s="19" t="s">
        <v>147</v>
      </c>
      <c r="B20" s="9" t="s">
        <v>148</v>
      </c>
      <c r="C20" s="12" t="s">
        <v>106</v>
      </c>
      <c r="D20" s="55" t="n">
        <v>4</v>
      </c>
      <c r="E20" s="55" t="n">
        <v>4</v>
      </c>
      <c r="F20" s="55" t="n">
        <v>4</v>
      </c>
      <c r="G20" s="55" t="n">
        <v>4</v>
      </c>
      <c r="H20" s="55" t="n">
        <v>4</v>
      </c>
      <c r="I20" s="55" t="n">
        <v>4</v>
      </c>
      <c r="J20" s="55" t="n">
        <v>4</v>
      </c>
      <c r="K20" s="30" t="n">
        <f aca="false">AVERAGE(D20:J20)</f>
        <v>4</v>
      </c>
      <c r="L20" s="36" t="n">
        <f aca="false">K20/SUM($K$5:$K$33)</f>
        <v>0.0338983050847458</v>
      </c>
      <c r="M20" s="11" t="n">
        <f aca="false">RANK(L20,$L$5:$L$33)</f>
        <v>9</v>
      </c>
    </row>
    <row r="21" customFormat="false" ht="27" hidden="false" customHeight="true" outlineLevel="0" collapsed="false">
      <c r="A21" s="19" t="s">
        <v>149</v>
      </c>
      <c r="B21" s="9" t="s">
        <v>150</v>
      </c>
      <c r="C21" s="12" t="s">
        <v>106</v>
      </c>
      <c r="D21" s="55" t="n">
        <v>4</v>
      </c>
      <c r="E21" s="55" t="n">
        <v>4</v>
      </c>
      <c r="F21" s="55" t="n">
        <v>4</v>
      </c>
      <c r="G21" s="55" t="n">
        <v>4</v>
      </c>
      <c r="H21" s="55" t="n">
        <v>4</v>
      </c>
      <c r="I21" s="55" t="n">
        <v>4</v>
      </c>
      <c r="J21" s="55" t="n">
        <v>4</v>
      </c>
      <c r="K21" s="30" t="n">
        <f aca="false">AVERAGE(D21:J21)</f>
        <v>4</v>
      </c>
      <c r="L21" s="36" t="n">
        <f aca="false">K21/SUM($K$5:$K$33)</f>
        <v>0.0338983050847458</v>
      </c>
      <c r="M21" s="11" t="n">
        <f aca="false">RANK(L21,$L$5:$L$33)</f>
        <v>9</v>
      </c>
    </row>
    <row r="22" customFormat="false" ht="27" hidden="false" customHeight="true" outlineLevel="0" collapsed="false">
      <c r="A22" s="19" t="s">
        <v>151</v>
      </c>
      <c r="B22" s="9" t="s">
        <v>152</v>
      </c>
      <c r="C22" s="12" t="s">
        <v>106</v>
      </c>
      <c r="D22" s="55" t="n">
        <v>4</v>
      </c>
      <c r="E22" s="55" t="n">
        <v>4</v>
      </c>
      <c r="F22" s="55" t="n">
        <v>4</v>
      </c>
      <c r="G22" s="55" t="n">
        <v>4</v>
      </c>
      <c r="H22" s="55" t="n">
        <v>4</v>
      </c>
      <c r="I22" s="55" t="n">
        <v>4</v>
      </c>
      <c r="J22" s="55" t="n">
        <v>4</v>
      </c>
      <c r="K22" s="30" t="n">
        <f aca="false">AVERAGE(D22:J22)</f>
        <v>4</v>
      </c>
      <c r="L22" s="36" t="n">
        <f aca="false">K22/SUM($K$5:$K$33)</f>
        <v>0.0338983050847458</v>
      </c>
      <c r="M22" s="11" t="n">
        <f aca="false">RANK(L22,$L$5:$L$33)</f>
        <v>9</v>
      </c>
    </row>
    <row r="23" customFormat="false" ht="27" hidden="false" customHeight="true" outlineLevel="0" collapsed="false">
      <c r="A23" s="19" t="s">
        <v>153</v>
      </c>
      <c r="B23" s="9" t="s">
        <v>154</v>
      </c>
      <c r="C23" s="12" t="s">
        <v>108</v>
      </c>
      <c r="D23" s="55" t="n">
        <v>5</v>
      </c>
      <c r="E23" s="55" t="n">
        <v>5</v>
      </c>
      <c r="F23" s="55" t="n">
        <v>5</v>
      </c>
      <c r="G23" s="55" t="n">
        <v>5</v>
      </c>
      <c r="H23" s="55" t="n">
        <v>5</v>
      </c>
      <c r="I23" s="55" t="n">
        <v>5</v>
      </c>
      <c r="J23" s="55" t="n">
        <v>5</v>
      </c>
      <c r="K23" s="30" t="n">
        <f aca="false">AVERAGE(D23:J23)</f>
        <v>5</v>
      </c>
      <c r="L23" s="36" t="n">
        <f aca="false">K23/SUM($K$5:$K$33)</f>
        <v>0.0423728813559322</v>
      </c>
      <c r="M23" s="11" t="n">
        <f aca="false">RANK(L23,$L$5:$L$33)</f>
        <v>1</v>
      </c>
    </row>
    <row r="24" customFormat="false" ht="27" hidden="false" customHeight="true" outlineLevel="0" collapsed="false">
      <c r="A24" s="19" t="s">
        <v>155</v>
      </c>
      <c r="B24" s="9" t="s">
        <v>156</v>
      </c>
      <c r="C24" s="12" t="s">
        <v>108</v>
      </c>
      <c r="D24" s="55" t="n">
        <v>4</v>
      </c>
      <c r="E24" s="55" t="n">
        <v>4</v>
      </c>
      <c r="F24" s="55" t="n">
        <v>4</v>
      </c>
      <c r="G24" s="55" t="n">
        <v>4</v>
      </c>
      <c r="H24" s="55" t="n">
        <v>4</v>
      </c>
      <c r="I24" s="55" t="n">
        <v>4</v>
      </c>
      <c r="J24" s="55" t="n">
        <v>4</v>
      </c>
      <c r="K24" s="30" t="n">
        <f aca="false">AVERAGE(D24:J24)</f>
        <v>4</v>
      </c>
      <c r="L24" s="36" t="n">
        <f aca="false">K24/SUM($K$5:$K$33)</f>
        <v>0.0338983050847458</v>
      </c>
      <c r="M24" s="11" t="n">
        <f aca="false">RANK(L24,$L$5:$L$33)</f>
        <v>9</v>
      </c>
    </row>
    <row r="25" customFormat="false" ht="27" hidden="false" customHeight="true" outlineLevel="0" collapsed="false">
      <c r="A25" s="19" t="s">
        <v>157</v>
      </c>
      <c r="B25" s="9" t="s">
        <v>158</v>
      </c>
      <c r="C25" s="12" t="s">
        <v>108</v>
      </c>
      <c r="D25" s="55" t="n">
        <v>4</v>
      </c>
      <c r="E25" s="55" t="n">
        <v>4</v>
      </c>
      <c r="F25" s="55" t="n">
        <v>4</v>
      </c>
      <c r="G25" s="55" t="n">
        <v>4</v>
      </c>
      <c r="H25" s="55" t="n">
        <v>4</v>
      </c>
      <c r="I25" s="55" t="n">
        <v>4</v>
      </c>
      <c r="J25" s="55" t="n">
        <v>4</v>
      </c>
      <c r="K25" s="30" t="n">
        <f aca="false">AVERAGE(D25:J25)</f>
        <v>4</v>
      </c>
      <c r="L25" s="36" t="n">
        <f aca="false">K25/SUM($K$5:$K$33)</f>
        <v>0.0338983050847458</v>
      </c>
      <c r="M25" s="11" t="n">
        <f aca="false">RANK(L25,$L$5:$L$33)</f>
        <v>9</v>
      </c>
    </row>
    <row r="26" customFormat="false" ht="27" hidden="false" customHeight="true" outlineLevel="0" collapsed="false">
      <c r="A26" s="19" t="s">
        <v>159</v>
      </c>
      <c r="B26" s="9" t="s">
        <v>160</v>
      </c>
      <c r="C26" s="12" t="s">
        <v>110</v>
      </c>
      <c r="D26" s="55" t="n">
        <v>5</v>
      </c>
      <c r="E26" s="55" t="n">
        <v>5</v>
      </c>
      <c r="F26" s="55" t="n">
        <v>5</v>
      </c>
      <c r="G26" s="55" t="n">
        <v>5</v>
      </c>
      <c r="H26" s="55" t="n">
        <v>4</v>
      </c>
      <c r="I26" s="55" t="n">
        <v>5</v>
      </c>
      <c r="J26" s="55" t="n">
        <v>4</v>
      </c>
      <c r="K26" s="30" t="n">
        <f aca="false">AVERAGE(D26:J26)</f>
        <v>4.71428571428571</v>
      </c>
      <c r="L26" s="36" t="n">
        <f aca="false">K26/SUM($K$5:$K$33)</f>
        <v>0.0399515738498789</v>
      </c>
      <c r="M26" s="11" t="n">
        <f aca="false">RANK(L26,$L$5:$L$33)</f>
        <v>3</v>
      </c>
    </row>
    <row r="27" customFormat="false" ht="27" hidden="false" customHeight="true" outlineLevel="0" collapsed="false">
      <c r="A27" s="19" t="s">
        <v>161</v>
      </c>
      <c r="B27" s="9" t="s">
        <v>162</v>
      </c>
      <c r="C27" s="12" t="s">
        <v>110</v>
      </c>
      <c r="D27" s="55" t="n">
        <v>5</v>
      </c>
      <c r="E27" s="55" t="n">
        <v>5</v>
      </c>
      <c r="F27" s="55" t="n">
        <v>5</v>
      </c>
      <c r="G27" s="55" t="n">
        <v>5</v>
      </c>
      <c r="H27" s="55" t="n">
        <v>4</v>
      </c>
      <c r="I27" s="55" t="n">
        <v>4</v>
      </c>
      <c r="J27" s="55" t="n">
        <v>4</v>
      </c>
      <c r="K27" s="30" t="n">
        <f aca="false">AVERAGE(D27:J27)</f>
        <v>4.57142857142857</v>
      </c>
      <c r="L27" s="36" t="n">
        <f aca="false">K27/SUM($K$5:$K$33)</f>
        <v>0.0387409200968523</v>
      </c>
      <c r="M27" s="11" t="n">
        <f aca="false">RANK(L27,$L$5:$L$33)</f>
        <v>4</v>
      </c>
    </row>
    <row r="28" customFormat="false" ht="27" hidden="false" customHeight="true" outlineLevel="0" collapsed="false">
      <c r="A28" s="19" t="s">
        <v>163</v>
      </c>
      <c r="B28" s="9" t="s">
        <v>164</v>
      </c>
      <c r="C28" s="12" t="s">
        <v>110</v>
      </c>
      <c r="D28" s="55" t="n">
        <v>4</v>
      </c>
      <c r="E28" s="55" t="n">
        <v>4</v>
      </c>
      <c r="F28" s="55" t="n">
        <v>4</v>
      </c>
      <c r="G28" s="55" t="n">
        <v>4</v>
      </c>
      <c r="H28" s="55" t="n">
        <v>4</v>
      </c>
      <c r="I28" s="55" t="n">
        <v>4</v>
      </c>
      <c r="J28" s="55" t="n">
        <v>4</v>
      </c>
      <c r="K28" s="30" t="n">
        <f aca="false">AVERAGE(D28:J28)</f>
        <v>4</v>
      </c>
      <c r="L28" s="36" t="n">
        <f aca="false">K28/SUM($K$5:$K$33)</f>
        <v>0.0338983050847458</v>
      </c>
      <c r="M28" s="11" t="n">
        <f aca="false">RANK(L28,$L$5:$L$33)</f>
        <v>9</v>
      </c>
    </row>
    <row r="29" customFormat="false" ht="27" hidden="false" customHeight="true" outlineLevel="0" collapsed="false">
      <c r="A29" s="19" t="s">
        <v>165</v>
      </c>
      <c r="B29" s="9" t="s">
        <v>166</v>
      </c>
      <c r="C29" s="12" t="s">
        <v>112</v>
      </c>
      <c r="D29" s="55" t="n">
        <v>5</v>
      </c>
      <c r="E29" s="55" t="n">
        <v>5</v>
      </c>
      <c r="F29" s="55" t="n">
        <v>4</v>
      </c>
      <c r="G29" s="55" t="n">
        <v>5</v>
      </c>
      <c r="H29" s="55" t="n">
        <v>4</v>
      </c>
      <c r="I29" s="55" t="n">
        <v>4</v>
      </c>
      <c r="J29" s="55" t="n">
        <v>5</v>
      </c>
      <c r="K29" s="30" t="n">
        <f aca="false">AVERAGE(D29:J29)</f>
        <v>4.57142857142857</v>
      </c>
      <c r="L29" s="36" t="n">
        <f aca="false">K29/SUM($K$5:$K$33)</f>
        <v>0.0387409200968523</v>
      </c>
      <c r="M29" s="11" t="n">
        <f aca="false">RANK(L29,$L$5:$L$33)</f>
        <v>4</v>
      </c>
    </row>
    <row r="30" customFormat="false" ht="27" hidden="false" customHeight="true" outlineLevel="0" collapsed="false">
      <c r="A30" s="19" t="s">
        <v>167</v>
      </c>
      <c r="B30" s="9" t="s">
        <v>168</v>
      </c>
      <c r="C30" s="12" t="s">
        <v>112</v>
      </c>
      <c r="D30" s="55" t="n">
        <v>4</v>
      </c>
      <c r="E30" s="55" t="n">
        <v>4</v>
      </c>
      <c r="F30" s="55" t="n">
        <v>4</v>
      </c>
      <c r="G30" s="55" t="n">
        <v>4</v>
      </c>
      <c r="H30" s="55" t="n">
        <v>4</v>
      </c>
      <c r="I30" s="55" t="n">
        <v>4</v>
      </c>
      <c r="J30" s="55" t="n">
        <v>4</v>
      </c>
      <c r="K30" s="30" t="n">
        <f aca="false">AVERAGE(D30:J30)</f>
        <v>4</v>
      </c>
      <c r="L30" s="36" t="n">
        <f aca="false">K30/SUM($K$5:$K$33)</f>
        <v>0.0338983050847458</v>
      </c>
      <c r="M30" s="11" t="n">
        <f aca="false">RANK(L30,$L$5:$L$33)</f>
        <v>9</v>
      </c>
    </row>
    <row r="31" customFormat="false" ht="27" hidden="false" customHeight="true" outlineLevel="0" collapsed="false">
      <c r="A31" s="19" t="s">
        <v>169</v>
      </c>
      <c r="B31" s="9" t="s">
        <v>170</v>
      </c>
      <c r="C31" s="12" t="s">
        <v>112</v>
      </c>
      <c r="D31" s="55" t="n">
        <v>4</v>
      </c>
      <c r="E31" s="55" t="n">
        <v>4</v>
      </c>
      <c r="F31" s="55" t="n">
        <v>4</v>
      </c>
      <c r="G31" s="55" t="n">
        <v>4</v>
      </c>
      <c r="H31" s="55" t="n">
        <v>4</v>
      </c>
      <c r="I31" s="55" t="n">
        <v>4</v>
      </c>
      <c r="J31" s="55" t="n">
        <v>4</v>
      </c>
      <c r="K31" s="30" t="n">
        <f aca="false">AVERAGE(D31:J31)</f>
        <v>4</v>
      </c>
      <c r="L31" s="36" t="n">
        <f aca="false">K31/SUM($K$5:$K$33)</f>
        <v>0.0338983050847458</v>
      </c>
      <c r="M31" s="11" t="n">
        <f aca="false">RANK(L31,$L$5:$L$33)</f>
        <v>9</v>
      </c>
    </row>
    <row r="32" customFormat="false" ht="27" hidden="false" customHeight="true" outlineLevel="0" collapsed="false">
      <c r="A32" s="19" t="s">
        <v>171</v>
      </c>
      <c r="B32" s="9" t="s">
        <v>172</v>
      </c>
      <c r="C32" s="12" t="s">
        <v>114</v>
      </c>
      <c r="D32" s="55" t="n">
        <v>5</v>
      </c>
      <c r="E32" s="55" t="n">
        <v>5</v>
      </c>
      <c r="F32" s="55" t="n">
        <v>5</v>
      </c>
      <c r="G32" s="55" t="n">
        <v>5</v>
      </c>
      <c r="H32" s="55" t="n">
        <v>5</v>
      </c>
      <c r="I32" s="55" t="n">
        <v>5</v>
      </c>
      <c r="J32" s="55" t="n">
        <v>5</v>
      </c>
      <c r="K32" s="30" t="n">
        <f aca="false">AVERAGE(D32:J32)</f>
        <v>5</v>
      </c>
      <c r="L32" s="36" t="n">
        <f aca="false">K32/SUM($K$5:$K$33)</f>
        <v>0.0423728813559322</v>
      </c>
      <c r="M32" s="11" t="n">
        <f aca="false">RANK(L32,$L$5:$L$33)</f>
        <v>1</v>
      </c>
    </row>
    <row r="33" customFormat="false" ht="27" hidden="false" customHeight="true" outlineLevel="0" collapsed="false">
      <c r="A33" s="19" t="s">
        <v>173</v>
      </c>
      <c r="B33" s="9" t="s">
        <v>174</v>
      </c>
      <c r="C33" s="12" t="s">
        <v>114</v>
      </c>
      <c r="D33" s="55" t="n">
        <v>4</v>
      </c>
      <c r="E33" s="55" t="n">
        <v>4</v>
      </c>
      <c r="F33" s="55" t="n">
        <v>4</v>
      </c>
      <c r="G33" s="55" t="n">
        <v>4</v>
      </c>
      <c r="H33" s="55" t="n">
        <v>4</v>
      </c>
      <c r="I33" s="55" t="n">
        <v>4</v>
      </c>
      <c r="J33" s="55" t="n">
        <v>4</v>
      </c>
      <c r="K33" s="30" t="n">
        <f aca="false">AVERAGE(D33:J33)</f>
        <v>4</v>
      </c>
      <c r="L33" s="36" t="n">
        <f aca="false">K33/SUM($K$5:$K$33)</f>
        <v>0.0338983050847458</v>
      </c>
      <c r="M33" s="11" t="n">
        <f aca="false">RANK(L33,$L$5:$L$33)</f>
        <v>9</v>
      </c>
    </row>
    <row r="34" customFormat="false" ht="15" hidden="false" customHeight="false" outlineLevel="0" collapsed="false">
      <c r="B34" s="25" t="s">
        <v>208</v>
      </c>
      <c r="K34" s="56" t="n">
        <f aca="false">SUM(K5:K33)</f>
        <v>118</v>
      </c>
      <c r="L34" s="40" t="n">
        <f aca="false">SUM(L5:L33)</f>
        <v>1</v>
      </c>
    </row>
    <row r="37" customFormat="false" ht="15" hidden="false" customHeight="false" outlineLevel="0" collapsed="false">
      <c r="A37" s="34" t="s">
        <v>264</v>
      </c>
    </row>
    <row r="38" customFormat="false" ht="30" hidden="false" customHeight="true" outlineLevel="0" collapsed="false">
      <c r="A38" s="27" t="s">
        <v>199</v>
      </c>
      <c r="B38" s="27" t="s">
        <v>200</v>
      </c>
      <c r="C38" s="27" t="s">
        <v>265</v>
      </c>
      <c r="D38" s="27" t="s">
        <v>227</v>
      </c>
      <c r="E38" s="27" t="s">
        <v>202</v>
      </c>
    </row>
    <row r="39" customFormat="false" ht="27" hidden="false" customHeight="true" outlineLevel="0" collapsed="false">
      <c r="A39" s="19" t="s">
        <v>98</v>
      </c>
      <c r="B39" s="9" t="s">
        <v>99</v>
      </c>
      <c r="C39" s="30" t="n">
        <f aca="false">AVERAGEIF($C$5:$C$33,A39,$K$5:$K$33)</f>
        <v>4.28571428571429</v>
      </c>
      <c r="D39" s="36" t="n">
        <f aca="false">C39/SUM($C$39:$C$47)</f>
        <v>0.115792859440335</v>
      </c>
      <c r="E39" s="11" t="n">
        <f aca="false">RANK(D39,$D$39:$D$47)</f>
        <v>4</v>
      </c>
    </row>
    <row r="40" customFormat="false" ht="27" hidden="false" customHeight="true" outlineLevel="0" collapsed="false">
      <c r="A40" s="19" t="s">
        <v>100</v>
      </c>
      <c r="B40" s="9" t="s">
        <v>101</v>
      </c>
      <c r="C40" s="30" t="n">
        <f aca="false">AVERAGEIF($C$5:$C$33,A40,$K$5:$K$33)</f>
        <v>3.57142857142857</v>
      </c>
      <c r="D40" s="36" t="n">
        <f aca="false">C40/SUM($C$39:$C$47)</f>
        <v>0.0964940495336121</v>
      </c>
      <c r="E40" s="11" t="n">
        <f aca="false">RANK(D40,$D$39:$D$47)</f>
        <v>9</v>
      </c>
    </row>
    <row r="41" customFormat="false" ht="27" hidden="false" customHeight="true" outlineLevel="0" collapsed="false">
      <c r="A41" s="19" t="s">
        <v>102</v>
      </c>
      <c r="B41" s="9" t="s">
        <v>103</v>
      </c>
      <c r="C41" s="30" t="n">
        <f aca="false">AVERAGEIF($C$5:$C$33,A41,$K$5:$K$33)</f>
        <v>3.80952380952381</v>
      </c>
      <c r="D41" s="36" t="n">
        <f aca="false">C41/SUM($C$39:$C$47)</f>
        <v>0.102926986169186</v>
      </c>
      <c r="E41" s="11" t="n">
        <f aca="false">RANK(D41,$D$39:$D$47)</f>
        <v>7</v>
      </c>
    </row>
    <row r="42" customFormat="false" ht="27" hidden="false" customHeight="true" outlineLevel="0" collapsed="false">
      <c r="A42" s="19" t="s">
        <v>104</v>
      </c>
      <c r="B42" s="9" t="s">
        <v>105</v>
      </c>
      <c r="C42" s="30" t="n">
        <f aca="false">AVERAGEIF($C$5:$C$33,A42,$K$5:$K$33)</f>
        <v>3.78571428571429</v>
      </c>
      <c r="D42" s="36" t="n">
        <f aca="false">C42/SUM($C$39:$C$47)</f>
        <v>0.102283692505629</v>
      </c>
      <c r="E42" s="11" t="n">
        <f aca="false">RANK(D42,$D$39:$D$47)</f>
        <v>8</v>
      </c>
    </row>
    <row r="43" customFormat="false" ht="27" hidden="false" customHeight="true" outlineLevel="0" collapsed="false">
      <c r="A43" s="19" t="s">
        <v>106</v>
      </c>
      <c r="B43" s="9" t="s">
        <v>107</v>
      </c>
      <c r="C43" s="30" t="n">
        <f aca="false">AVERAGEIF($C$5:$C$33,A43,$K$5:$K$33)</f>
        <v>4.10714285714286</v>
      </c>
      <c r="D43" s="36" t="n">
        <f aca="false">C43/SUM($C$39:$C$47)</f>
        <v>0.110968156963654</v>
      </c>
      <c r="E43" s="11" t="n">
        <f aca="false">RANK(D43,$D$39:$D$47)</f>
        <v>6</v>
      </c>
    </row>
    <row r="44" customFormat="false" ht="27" hidden="false" customHeight="true" outlineLevel="0" collapsed="false">
      <c r="A44" s="19" t="s">
        <v>108</v>
      </c>
      <c r="B44" s="9" t="s">
        <v>109</v>
      </c>
      <c r="C44" s="30" t="n">
        <f aca="false">AVERAGEIF($C$5:$C$33,A44,$K$5:$K$33)</f>
        <v>4.33333333333333</v>
      </c>
      <c r="D44" s="36" t="n">
        <f aca="false">C44/SUM($C$39:$C$47)</f>
        <v>0.117079446767449</v>
      </c>
      <c r="E44" s="11" t="n">
        <f aca="false">RANK(D44,$D$39:$D$47)</f>
        <v>3</v>
      </c>
    </row>
    <row r="45" customFormat="false" ht="27" hidden="false" customHeight="true" outlineLevel="0" collapsed="false">
      <c r="A45" s="19" t="s">
        <v>110</v>
      </c>
      <c r="B45" s="9" t="s">
        <v>111</v>
      </c>
      <c r="C45" s="30" t="n">
        <f aca="false">AVERAGEIF($C$5:$C$33,A45,$K$5:$K$33)</f>
        <v>4.42857142857143</v>
      </c>
      <c r="D45" s="36" t="n">
        <f aca="false">C45/SUM($C$39:$C$47)</f>
        <v>0.119652621421679</v>
      </c>
      <c r="E45" s="11" t="n">
        <f aca="false">RANK(D45,$D$39:$D$47)</f>
        <v>2</v>
      </c>
    </row>
    <row r="46" customFormat="false" ht="27" hidden="false" customHeight="true" outlineLevel="0" collapsed="false">
      <c r="A46" s="19" t="s">
        <v>112</v>
      </c>
      <c r="B46" s="9" t="s">
        <v>113</v>
      </c>
      <c r="C46" s="30" t="n">
        <f aca="false">AVERAGEIF($C$5:$C$33,A46,$K$5:$K$33)</f>
        <v>4.19047619047619</v>
      </c>
      <c r="D46" s="36" t="n">
        <f aca="false">C46/SUM($C$39:$C$47)</f>
        <v>0.113219684786105</v>
      </c>
      <c r="E46" s="11" t="n">
        <f aca="false">RANK(D46,$D$39:$D$47)</f>
        <v>5</v>
      </c>
    </row>
    <row r="47" customFormat="false" ht="27" hidden="false" customHeight="true" outlineLevel="0" collapsed="false">
      <c r="A47" s="19" t="s">
        <v>114</v>
      </c>
      <c r="B47" s="9" t="s">
        <v>115</v>
      </c>
      <c r="C47" s="30" t="n">
        <f aca="false">AVERAGEIF($C$5:$C$33,A47,$K$5:$K$33)</f>
        <v>4.5</v>
      </c>
      <c r="D47" s="36" t="n">
        <f aca="false">C47/SUM($C$39:$C$47)</f>
        <v>0.121582502412351</v>
      </c>
      <c r="E47" s="11" t="n">
        <f aca="false">RANK(D47,$D$39:$D$47)</f>
        <v>1</v>
      </c>
    </row>
    <row r="48" customFormat="false" ht="15" hidden="false" customHeight="false" outlineLevel="0" collapsed="false">
      <c r="B48" s="25" t="s">
        <v>208</v>
      </c>
      <c r="C48" s="56" t="n">
        <f aca="false">SUM(C39:C47)</f>
        <v>37.0119047619048</v>
      </c>
      <c r="D48" s="40" t="n">
        <f aca="false">SUM(D39:D47)</f>
        <v>1</v>
      </c>
    </row>
  </sheetData>
  <sheetProtection sheet="true" formatColumns="false" formatRows="false"/>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2026-10-28T19:40:05Z</dcterms:created>
  <dc:creator>AHP</dc:creator>
  <dc:description/>
  <dc:language>en-US</dc:language>
  <cp:lastModifiedBy/>
  <dcterms:modified xsi:type="dcterms:W3CDTF">2026-10-28T19:40:06Z</dcterms:modified>
  <cp:revision>0</cp:revision>
  <dc:subject/>
  <dc:title>محاسبهٔ وزن‌ها به روش AHP با مقایسهٔ زوجی (ماتریس‌های برآوردی)</dc:title>
</cp:coreProperties>
</file>

<file path=docProps/custom.xml><?xml version="1.0" encoding="utf-8"?>
<Properties xmlns="http://schemas.openxmlformats.org/officeDocument/2006/custom-properties" xmlns:vt="http://schemas.openxmlformats.org/officeDocument/2006/docPropsVTypes"/>
</file>